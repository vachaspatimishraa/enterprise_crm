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fcf3a9b29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Data" sheetId="1" r:id="Rcf79d93ec0c54e15"/>
    <x:sheet xmlns:r="http://schemas.openxmlformats.org/officeDocument/2006/relationships" name="Test_Overview" sheetId="2" r:id="R92f88261c5304086"/>
    <x:sheet xmlns:r="http://schemas.openxmlformats.org/officeDocument/2006/relationships" name="Stock_Movements" sheetId="3" r:id="R82359171e2c447f2"/>
    <x:sheet xmlns:r="http://schemas.openxmlformats.org/officeDocument/2006/relationships" name="Invalid_Examples" sheetId="4" r:id="Reef3ac39c5cb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₹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sz val="11"/>
      <x:color rgb="FF185E6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04F"/>
      </x:patternFill>
    </x:fill>
    <x:fill>
      <x:patternFill patternType="solid">
        <x:fgColor rgb="FFDAEDF0"/>
      </x:patternFill>
    </x:fill>
    <x:fill>
      <x:patternFill patternType="solid">
        <x:fgColor rgb="FF177A8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bdd3d3fc84a16" /><Relationship Type="http://schemas.openxmlformats.org/officeDocument/2006/relationships/theme" Target="/xl/theme/theme1.xml" Id="R2578268a16ad458a" /><Relationship Type="http://schemas.microsoft.com/office/2022/11/relationships/FeaturePropertyBag" Target="/xl/featurePropertyBag/featurePropertyBag.xml" Id="Rea4528a1e641447b" /><Relationship Type="http://schemas.openxmlformats.org/officeDocument/2006/relationships/sharedStrings" Target="/xl/sharedStrings.xml" Id="R24e23e8f0cf744f8" /><Relationship Type="http://schemas.openxmlformats.org/officeDocument/2006/relationships/worksheet" Target="/xl/worksheets/sheet1.xml" Id="Rcf79d93ec0c54e15" /><Relationship Type="http://schemas.openxmlformats.org/officeDocument/2006/relationships/worksheet" Target="/xl/worksheets/sheet2.xml" Id="R92f88261c5304086" /><Relationship Type="http://schemas.openxmlformats.org/officeDocument/2006/relationships/worksheet" Target="/xl/worksheets/sheet3.xml" Id="R82359171e2c447f2" /><Relationship Type="http://schemas.openxmlformats.org/officeDocument/2006/relationships/worksheet" Target="/xl/worksheets/sheet4.xml" Id="Reef3ac39c5cb42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MockTable" displayName="InventoryMockTable" ref="A1:U73" headerRowCount="1" totalsRowCount="0" totalsRowShown="0">
  <x:tableColumns count="21">
    <x:tableColumn id="1" name="sku"/>
    <x:tableColumn id="2" name="product_name"/>
    <x:tableColumn id="3" name="category"/>
    <x:tableColumn id="4" name="brand"/>
    <x:tableColumn id="5" name="unit"/>
    <x:tableColumn id="6" name="barcode"/>
    <x:tableColumn id="7" name="warehouse"/>
    <x:tableColumn id="8" name="bin_location"/>
    <x:tableColumn id="9" name="supplier"/>
    <x:tableColumn id="10" name="unit_cost_inr"/>
    <x:tableColumn id="11" name="selling_price_inr"/>
    <x:tableColumn id="12" name="stock_quantity"/>
    <x:tableColumn id="13" name="reorder_level"/>
    <x:tableColumn id="14" name="max_stock"/>
    <x:tableColumn id="15" name="gst_percent"/>
    <x:tableColumn id="16" name="batch_number"/>
    <x:tableColumn id="17" name="expiry_date"/>
    <x:tableColumn id="18" name="last_restocked_date"/>
    <x:tableColumn id="19" name="is_active"/>
    <x:tableColumn id="20" name="expected_stock_status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ckStockMovements" displayName="MockStockMovements" ref="A1:H25" headerRowCount="1" totalsRowCount="0" totalsRowShown="0">
  <x:tableColumns count="8">
    <x:tableColumn id="1" name="movement_id"/>
    <x:tableColumn id="2" name="transaction_date"/>
    <x:tableColumn id="3" name="sku"/>
    <x:tableColumn id="4" name="warehouse"/>
    <x:tableColumn id="5" name="movement_type"/>
    <x:tableColumn id="6" name="quantity"/>
    <x:tableColumn id="7" name="reference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InvalidScenarios" displayName="InventoryInvalidScenarios" ref="A1:E17" headerRowCount="1" totalsRowCount="0" totalsRowShown="0">
  <x:tableColumns count="5">
    <x:tableColumn id="1" name="case_id"/>
    <x:tableColumn id="2" name="test_area"/>
    <x:tableColumn id="3" name="invalid_input"/>
    <x:tableColumn id="4" name="expected_result"/>
    <x:tableColumn id="5" name="why_it_should_f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656149883247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76b71a13744c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068c249549478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9" hidden="0" customWidth="1"/>
    <x:col min="4" max="4" width="18" hidden="0" customWidth="1"/>
    <x:col min="5" max="5" width="10" hidden="0" customWidth="1"/>
    <x:col min="6" max="6" width="19" hidden="0" customWidth="1"/>
    <x:col min="7" max="7" width="16" hidden="0" customWidth="1"/>
    <x:col min="8" max="8" width="16" hidden="0" customWidth="1"/>
    <x:col min="9" max="9" width="2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12" hidden="0" customWidth="1"/>
    <x:col min="20" max="20" width="22" hidden="0" customWidth="1"/>
    <x:col min="21" max="21" width="36" hidden="0" customWidth="1"/>
  </x:cols>
  <x:sheetData>
    <x:row r="1" ht="34" customHeight="1">
      <x:c r="A1" s="7" t="str">
        <x:v>sku</x:v>
      </x:c>
      <x:c r="B1" s="7" t="str">
        <x:v>product_name</x:v>
      </x:c>
      <x:c r="C1" s="7" t="str">
        <x:v>category</x:v>
      </x:c>
      <x:c r="D1" s="7" t="str">
        <x:v>brand</x:v>
      </x:c>
      <x:c r="E1" s="7" t="str">
        <x:v>unit</x:v>
      </x:c>
      <x:c r="F1" s="7" t="str">
        <x:v>barcode</x:v>
      </x:c>
      <x:c r="G1" s="7" t="str">
        <x:v>warehouse</x:v>
      </x:c>
      <x:c r="H1" s="7" t="str">
        <x:v>bin_location</x:v>
      </x:c>
      <x:c r="I1" s="7" t="str">
        <x:v>supplier</x:v>
      </x:c>
      <x:c r="J1" s="7" t="str">
        <x:v>unit_cost_inr</x:v>
      </x:c>
      <x:c r="K1" s="7" t="str">
        <x:v>selling_price_inr</x:v>
      </x:c>
      <x:c r="L1" s="7" t="str">
        <x:v>stock_quantity</x:v>
      </x:c>
      <x:c r="M1" s="7" t="str">
        <x:v>reorder_level</x:v>
      </x:c>
      <x:c r="N1" s="7" t="str">
        <x:v>max_stock</x:v>
      </x:c>
      <x:c r="O1" s="7" t="str">
        <x:v>gst_percent</x:v>
      </x:c>
      <x:c r="P1" s="7" t="str">
        <x:v>batch_number</x:v>
      </x:c>
      <x:c r="Q1" s="7" t="str">
        <x:v>expiry_date</x:v>
      </x:c>
      <x:c r="R1" s="7" t="str">
        <x:v>last_restocked_date</x:v>
      </x:c>
      <x:c r="S1" s="7" t="str">
        <x:v>is_active</x:v>
      </x:c>
      <x:c r="T1" s="7" t="str">
        <x:v>expected_stock_status</x:v>
      </x:c>
      <x:c r="U1" s="7" t="str">
        <x:v>notes</x:v>
      </x:c>
    </x:row>
    <x:row r="2" ht="21" customHeight="1">
      <x:c r="A2" t="str">
        <x:v>ELE-0001</x:v>
      </x:c>
      <x:c r="B2" t="str">
        <x:v>USB-C Fast Charger 30W</x:v>
      </x:c>
      <x:c r="C2" t="str">
        <x:v>Electronics</x:v>
      </x:c>
      <x:c r="D2" t="str">
        <x:v>VoltEdge</x:v>
      </x:c>
      <x:c r="E2" t="str">
        <x:v>piece</x:v>
      </x:c>
      <x:c r="F2" t="str">
        <x:v>8905000000017</x:v>
      </x:c>
      <x:c r="G2" t="str">
        <x:v>BLR-01</x:v>
      </x:c>
      <x:c r="H2" t="str">
        <x:v>ELE-A1-01</x:v>
      </x:c>
      <x:c r="I2" t="str">
        <x:v>Metro Digital Supplies</x:v>
      </x:c>
      <x:c r="J2" s="12" t="n">
        <x:v>799</x:v>
      </x:c>
      <x:c r="K2" s="12" t="n">
        <x:v>1199</x:v>
      </x:c>
      <x:c r="L2" s="14" t="n">
        <x:v>0</x:v>
      </x:c>
      <x:c r="M2" s="14" t="n">
        <x:v>15</x:v>
      </x:c>
      <x:c r="N2" s="14" t="n">
        <x:v>92</x:v>
      </x:c>
      <x:c r="O2" s="14" t="n">
        <x:v>18</x:v>
      </x:c>
      <x:c r="P2" t="str">
        <x:v>B26-ELE-01</x:v>
      </x:c>
      <x:c r="Q2" t="str"/>
      <x:c r="R2" t="str">
        <x:v>2026-09-21</x:v>
      </x:c>
      <x:c r="S2" s="1" t="b">
        <x:v>1</x:v>
      </x:c>
      <x:c r="T2" t="str">
        <x:v>OUT_OF_STOCK</x:v>
      </x:c>
      <x:c r="U2" t="str">
        <x:v>Zero stock - replenishment check</x:v>
      </x:c>
    </x:row>
    <x:row r="3" ht="21" customHeight="1">
      <x:c r="A3" t="str">
        <x:v>ELE-0002</x:v>
      </x:c>
      <x:c r="B3" t="str">
        <x:v>Wireless Mouse</x:v>
      </x:c>
      <x:c r="C3" t="str">
        <x:v>Electronics</x:v>
      </x:c>
      <x:c r="D3" t="str">
        <x:v>ClickPro</x:v>
      </x:c>
      <x:c r="E3" t="str">
        <x:v>piece</x:v>
      </x:c>
      <x:c r="F3" t="str">
        <x:v>8905000000024</x:v>
      </x:c>
      <x:c r="G3" t="str">
        <x:v>MUM-01</x:v>
      </x:c>
      <x:c r="H3" t="str">
        <x:v>ELE-A1-02</x:v>
      </x:c>
      <x:c r="I3" t="str">
        <x:v>Metro Digital Supplies</x:v>
      </x:c>
      <x:c r="J3" s="12" t="n">
        <x:v>450</x:v>
      </x:c>
      <x:c r="K3" s="12" t="n">
        <x:v>799</x:v>
      </x:c>
      <x:c r="L3" s="14" t="n">
        <x:v>19</x:v>
      </x:c>
      <x:c r="M3" s="14" t="n">
        <x:v>22</x:v>
      </x:c>
      <x:c r="N3" s="14" t="n">
        <x:v>132</x:v>
      </x:c>
      <x:c r="O3" s="14" t="n">
        <x:v>18</x:v>
      </x:c>
      <x:c r="P3" t="str">
        <x:v>B26-ELE-02</x:v>
      </x:c>
      <x:c r="Q3" t="str"/>
      <x:c r="R3" t="str">
        <x:v>2026-09-14</x:v>
      </x:c>
      <x:c r="S3" s="1" t="b">
        <x:v>1</x:v>
      </x:c>
      <x:c r="T3" t="str">
        <x:v>LOW_STOCK</x:v>
      </x:c>
      <x:c r="U3" t="str">
        <x:v>At or below reorder level</x:v>
      </x:c>
    </x:row>
    <x:row r="4" ht="21" customHeight="1">
      <x:c r="A4" t="str">
        <x:v>ELE-0003</x:v>
      </x:c>
      <x:c r="B4" t="str">
        <x:v>HDMI Cable 2m</x:v>
      </x:c>
      <x:c r="C4" t="str">
        <x:v>Electronics</x:v>
      </x:c>
      <x:c r="D4" t="str">
        <x:v>CableMate</x:v>
      </x:c>
      <x:c r="E4" t="str">
        <x:v>piece</x:v>
      </x:c>
      <x:c r="F4" t="str">
        <x:v>8905000000031</x:v>
      </x:c>
      <x:c r="G4" t="str">
        <x:v>DEL-01</x:v>
      </x:c>
      <x:c r="H4" t="str">
        <x:v>ELE-A1-03</x:v>
      </x:c>
      <x:c r="I4" t="str">
        <x:v>Metro Digital Supplies</x:v>
      </x:c>
      <x:c r="J4" s="12" t="n">
        <x:v>180</x:v>
      </x:c>
      <x:c r="K4" s="12" t="n">
        <x:v>349</x:v>
      </x:c>
      <x:c r="L4" s="14" t="n">
        <x:v>29</x:v>
      </x:c>
      <x:c r="M4" s="14" t="n">
        <x:v>29</x:v>
      </x:c>
      <x:c r="N4" s="14" t="n">
        <x:v>172</x:v>
      </x:c>
      <x:c r="O4" s="14" t="n">
        <x:v>18</x:v>
      </x:c>
      <x:c r="P4" t="str">
        <x:v>B26-ELE-03</x:v>
      </x:c>
      <x:c r="Q4" t="str"/>
      <x:c r="R4" t="str">
        <x:v>2026-09-07</x:v>
      </x:c>
      <x:c r="S4" s="1" t="b">
        <x:v>1</x:v>
      </x:c>
      <x:c r="T4" t="str">
        <x:v>LOW_STOCK</x:v>
      </x:c>
      <x:c r="U4" t="str">
        <x:v>At or below reorder level</x:v>
      </x:c>
    </x:row>
    <x:row r="5" ht="21" customHeight="1">
      <x:c r="A5" t="str">
        <x:v>ELE-0004</x:v>
      </x:c>
      <x:c r="B5" t="str">
        <x:v>Power Bank 10000mAh</x:v>
      </x:c>
      <x:c r="C5" t="str">
        <x:v>Electronics</x:v>
      </x:c>
      <x:c r="D5" t="str">
        <x:v>VoltEdge</x:v>
      </x:c>
      <x:c r="E5" t="str">
        <x:v>piece</x:v>
      </x:c>
      <x:c r="F5" t="str">
        <x:v>8905000000048</x:v>
      </x:c>
      <x:c r="G5" t="str">
        <x:v>BLR-01</x:v>
      </x:c>
      <x:c r="H5" t="str">
        <x:v>ELE-A1-04</x:v>
      </x:c>
      <x:c r="I5" t="str">
        <x:v>Metro Digital Supplies</x:v>
      </x:c>
      <x:c r="J5" s="12" t="n">
        <x:v>980</x:v>
      </x:c>
      <x:c r="K5" s="12" t="n">
        <x:v>1599</x:v>
      </x:c>
      <x:c r="L5" s="14" t="n">
        <x:v>10</x:v>
      </x:c>
      <x:c r="M5" s="14" t="n">
        <x:v>9</x:v>
      </x:c>
      <x:c r="N5" s="14" t="n">
        <x:v>56</x:v>
      </x:c>
      <x:c r="O5" s="14" t="n">
        <x:v>18</x:v>
      </x:c>
      <x:c r="P5" t="str">
        <x:v>B26-ELE-04</x:v>
      </x:c>
      <x:c r="Q5" t="str"/>
      <x:c r="R5" t="str">
        <x:v>2026-08-31</x:v>
      </x:c>
      <x:c r="S5" s="1" t="b">
        <x:v>1</x:v>
      </x:c>
      <x:c r="T5" t="str">
        <x:v>IN_STOCK</x:v>
      </x:c>
      <x:c r="U5" t="str"/>
    </x:row>
    <x:row r="6" ht="21" customHeight="1">
      <x:c r="A6" t="str">
        <x:v>ELE-0005</x:v>
      </x:c>
      <x:c r="B6" t="str">
        <x:v>Bluetooth Speaker</x:v>
      </x:c>
      <x:c r="C6" t="str">
        <x:v>Electronics</x:v>
      </x:c>
      <x:c r="D6" t="str">
        <x:v>SoundWorks</x:v>
      </x:c>
      <x:c r="E6" t="str">
        <x:v>piece</x:v>
      </x:c>
      <x:c r="F6" t="str">
        <x:v>8905000000055</x:v>
      </x:c>
      <x:c r="G6" t="str">
        <x:v>MUM-01</x:v>
      </x:c>
      <x:c r="H6" t="str">
        <x:v>ELE-A2-01</x:v>
      </x:c>
      <x:c r="I6" t="str">
        <x:v>Metro Digital Supplies</x:v>
      </x:c>
      <x:c r="J6" s="12" t="n">
        <x:v>1100</x:v>
      </x:c>
      <x:c r="K6" s="12" t="n">
        <x:v>1899</x:v>
      </x:c>
      <x:c r="L6" s="14" t="n">
        <x:v>43</x:v>
      </x:c>
      <x:c r="M6" s="14" t="n">
        <x:v>16</x:v>
      </x:c>
      <x:c r="N6" s="14" t="n">
        <x:v>96</x:v>
      </x:c>
      <x:c r="O6" s="14" t="n">
        <x:v>18</x:v>
      </x:c>
      <x:c r="P6" t="str">
        <x:v>B26-ELE-05</x:v>
      </x:c>
      <x:c r="Q6" t="str"/>
      <x:c r="R6" t="str">
        <x:v>2026-08-24</x:v>
      </x:c>
      <x:c r="S6" s="1" t="b">
        <x:v>1</x:v>
      </x:c>
      <x:c r="T6" t="str">
        <x:v>IN_STOCK</x:v>
      </x:c>
      <x:c r="U6" t="str"/>
    </x:row>
    <x:row r="7" ht="21" customHeight="1">
      <x:c r="A7" t="str">
        <x:v>ELE-0006</x:v>
      </x:c>
      <x:c r="B7" t="str">
        <x:v>Surge Protector 6 Socket</x:v>
      </x:c>
      <x:c r="C7" t="str">
        <x:v>Electronics</x:v>
      </x:c>
      <x:c r="D7" t="str">
        <x:v>SafeVolt</x:v>
      </x:c>
      <x:c r="E7" t="str">
        <x:v>piece</x:v>
      </x:c>
      <x:c r="F7" t="str">
        <x:v>8905000000062</x:v>
      </x:c>
      <x:c r="G7" t="str">
        <x:v>DEL-01</x:v>
      </x:c>
      <x:c r="H7" t="str">
        <x:v>ELE-A2-02</x:v>
      </x:c>
      <x:c r="I7" t="str">
        <x:v>Metro Digital Supplies</x:v>
      </x:c>
      <x:c r="J7" s="12" t="n">
        <x:v>690</x:v>
      </x:c>
      <x:c r="K7" s="12" t="n">
        <x:v>1099</x:v>
      </x:c>
      <x:c r="L7" s="14" t="n">
        <x:v>136</x:v>
      </x:c>
      <x:c r="M7" s="14" t="n">
        <x:v>23</x:v>
      </x:c>
      <x:c r="N7" s="14" t="n">
        <x:v>136</x:v>
      </x:c>
      <x:c r="O7" s="14" t="n">
        <x:v>18</x:v>
      </x:c>
      <x:c r="P7" t="str">
        <x:v>B26-ELE-06</x:v>
      </x:c>
      <x:c r="Q7" t="str"/>
      <x:c r="R7" t="str">
        <x:v>2026-08-17</x:v>
      </x:c>
      <x:c r="S7" s="1" t="b">
        <x:v>1</x:v>
      </x:c>
      <x:c r="T7" t="str">
        <x:v>IN_STOCK</x:v>
      </x:c>
      <x:c r="U7" t="str"/>
    </x:row>
    <x:row r="8" ht="21" customHeight="1">
      <x:c r="A8" t="str">
        <x:v>ELE-0007</x:v>
      </x:c>
      <x:c r="B8" t="str">
        <x:v>USB Flash Drive 64GB</x:v>
      </x:c>
      <x:c r="C8" t="str">
        <x:v>Electronics</x:v>
      </x:c>
      <x:c r="D8" t="str">
        <x:v>DataLink</x:v>
      </x:c>
      <x:c r="E8" t="str">
        <x:v>piece</x:v>
      </x:c>
      <x:c r="F8" t="str">
        <x:v>8905000000079</x:v>
      </x:c>
      <x:c r="G8" t="str">
        <x:v>BLR-01</x:v>
      </x:c>
      <x:c r="H8" t="str">
        <x:v>ELE-A2-03</x:v>
      </x:c>
      <x:c r="I8" t="str">
        <x:v>Metro Digital Supplies</x:v>
      </x:c>
      <x:c r="J8" s="12" t="n">
        <x:v>395</x:v>
      </x:c>
      <x:c r="K8" s="12" t="n">
        <x:v>649</x:v>
      </x:c>
      <x:c r="L8" s="14" t="n">
        <x:v>196</x:v>
      </x:c>
      <x:c r="M8" s="14" t="n">
        <x:v>30</x:v>
      </x:c>
      <x:c r="N8" s="14" t="n">
        <x:v>176</x:v>
      </x:c>
      <x:c r="O8" s="14" t="n">
        <x:v>18</x:v>
      </x:c>
      <x:c r="P8" t="str">
        <x:v>B26-ELE-07</x:v>
      </x:c>
      <x:c r="Q8" t="str"/>
      <x:c r="R8" t="str">
        <x:v>2026-08-10</x:v>
      </x:c>
      <x:c r="S8" s="1" t="b">
        <x:v>1</x:v>
      </x:c>
      <x:c r="T8" t="str">
        <x:v>OVERSTOCK</x:v>
      </x:c>
      <x:c r="U8" t="str">
        <x:v>Over maximum stock threshold</x:v>
      </x:c>
    </x:row>
    <x:row r="9" ht="21" customHeight="1">
      <x:c r="A9" t="str">
        <x:v>ELE-0008</x:v>
      </x:c>
      <x:c r="B9" t="str">
        <x:v>Webcam Full HD 1080p</x:v>
      </x:c>
      <x:c r="C9" t="str">
        <x:v>Electronics</x:v>
      </x:c>
      <x:c r="D9" t="str">
        <x:v>VisionTech</x:v>
      </x:c>
      <x:c r="E9" t="str">
        <x:v>piece</x:v>
      </x:c>
      <x:c r="F9" t="str">
        <x:v>8905000000086</x:v>
      </x:c>
      <x:c r="G9" t="str">
        <x:v>MUM-01</x:v>
      </x:c>
      <x:c r="H9" t="str">
        <x:v>ELE-A2-04</x:v>
      </x:c>
      <x:c r="I9" t="str">
        <x:v>Metro Digital Supplies</x:v>
      </x:c>
      <x:c r="J9" s="12" t="n">
        <x:v>1350</x:v>
      </x:c>
      <x:c r="K9" s="12" t="n">
        <x:v>2199</x:v>
      </x:c>
      <x:c r="L9" s="14" t="n">
        <x:v>17</x:v>
      </x:c>
      <x:c r="M9" s="14" t="n">
        <x:v>10</x:v>
      </x:c>
      <x:c r="N9" s="14" t="n">
        <x:v>60</x:v>
      </x:c>
      <x:c r="O9" s="14" t="n">
        <x:v>18</x:v>
      </x:c>
      <x:c r="P9" t="str">
        <x:v>B26-ELE-08</x:v>
      </x:c>
      <x:c r="Q9" t="str"/>
      <x:c r="R9" t="str">
        <x:v>2026-08-03</x:v>
      </x:c>
      <x:c r="S9" s="1" t="b">
        <x:v>1</x:v>
      </x:c>
      <x:c r="T9" t="str">
        <x:v>IN_STOCK</x:v>
      </x:c>
      <x:c r="U9" t="str"/>
    </x:row>
    <x:row r="10" ht="21" customHeight="1">
      <x:c r="A10" t="str">
        <x:v>ITA-0001</x:v>
      </x:c>
      <x:c r="B10" t="str">
        <x:v>Laptop Stand Adjustable</x:v>
      </x:c>
      <x:c r="C10" t="str">
        <x:v>IT Accessories</x:v>
      </x:c>
      <x:c r="D10" t="str">
        <x:v>DeskFlex</x:v>
      </x:c>
      <x:c r="E10" t="str">
        <x:v>piece</x:v>
      </x:c>
      <x:c r="F10" t="str">
        <x:v>8905000000093</x:v>
      </x:c>
      <x:c r="G10" t="str">
        <x:v>DEL-01</x:v>
      </x:c>
      <x:c r="H10" t="str">
        <x:v>ITA-A1-01</x:v>
      </x:c>
      <x:c r="I10" t="str">
        <x:v>ByteLine Wholesale</x:v>
      </x:c>
      <x:c r="J10" s="12" t="n">
        <x:v>680</x:v>
      </x:c>
      <x:c r="K10" s="12" t="n">
        <x:v>1299</x:v>
      </x:c>
      <x:c r="L10" s="14" t="n">
        <x:v>59</x:v>
      </x:c>
      <x:c r="M10" s="14" t="n">
        <x:v>17</x:v>
      </x:c>
      <x:c r="N10" s="14" t="n">
        <x:v>100</x:v>
      </x:c>
      <x:c r="O10" s="14" t="n">
        <x:v>18</x:v>
      </x:c>
      <x:c r="P10" t="str">
        <x:v>B26-ITA-01</x:v>
      </x:c>
      <x:c r="Q10" t="str"/>
      <x:c r="R10" t="str">
        <x:v>2026-07-27</x:v>
      </x:c>
      <x:c r="S10" s="1" t="b">
        <x:v>1</x:v>
      </x:c>
      <x:c r="T10" t="str">
        <x:v>IN_STOCK</x:v>
      </x:c>
      <x:c r="U10" t="str"/>
    </x:row>
    <x:row r="11" ht="21" customHeight="1">
      <x:c r="A11" t="str">
        <x:v>ITA-0002</x:v>
      </x:c>
      <x:c r="B11" t="str">
        <x:v>Keyboard Wired</x:v>
      </x:c>
      <x:c r="C11" t="str">
        <x:v>IT Accessories</x:v>
      </x:c>
      <x:c r="D11" t="str">
        <x:v>TypeWorks</x:v>
      </x:c>
      <x:c r="E11" t="str">
        <x:v>piece</x:v>
      </x:c>
      <x:c r="F11" t="str">
        <x:v>8905000000109</x:v>
      </x:c>
      <x:c r="G11" t="str">
        <x:v>BLR-01</x:v>
      </x:c>
      <x:c r="H11" t="str">
        <x:v>ITA-A1-02</x:v>
      </x:c>
      <x:c r="I11" t="str">
        <x:v>ByteLine Wholesale</x:v>
      </x:c>
      <x:c r="J11" s="12" t="n">
        <x:v>490</x:v>
      </x:c>
      <x:c r="K11" s="12" t="n">
        <x:v>899</x:v>
      </x:c>
      <x:c r="L11" s="14" t="n">
        <x:v>0</x:v>
      </x:c>
      <x:c r="M11" s="14" t="n">
        <x:v>24</x:v>
      </x:c>
      <x:c r="N11" s="14" t="n">
        <x:v>140</x:v>
      </x:c>
      <x:c r="O11" s="14" t="n">
        <x:v>18</x:v>
      </x:c>
      <x:c r="P11" t="str">
        <x:v>B26-ITA-02</x:v>
      </x:c>
      <x:c r="Q11" t="str"/>
      <x:c r="R11" t="str">
        <x:v>2026-07-20</x:v>
      </x:c>
      <x:c r="S11" s="1" t="b">
        <x:v>1</x:v>
      </x:c>
      <x:c r="T11" t="str">
        <x:v>OUT_OF_STOCK</x:v>
      </x:c>
      <x:c r="U11" t="str">
        <x:v>Zero stock - replenishment check</x:v>
      </x:c>
    </x:row>
    <x:row r="12" ht="21" customHeight="1">
      <x:c r="A12" t="str">
        <x:v>ITA-0003</x:v>
      </x:c>
      <x:c r="B12" t="str">
        <x:v>Ethernet Cable Cat6 5m</x:v>
      </x:c>
      <x:c r="C12" t="str">
        <x:v>IT Accessories</x:v>
      </x:c>
      <x:c r="D12" t="str">
        <x:v>NetWire</x:v>
      </x:c>
      <x:c r="E12" t="str">
        <x:v>piece</x:v>
      </x:c>
      <x:c r="F12" t="str">
        <x:v>8905000000116</x:v>
      </x:c>
      <x:c r="G12" t="str">
        <x:v>MUM-01</x:v>
      </x:c>
      <x:c r="H12" t="str">
        <x:v>ITA-A1-03</x:v>
      </x:c>
      <x:c r="I12" t="str">
        <x:v>ByteLine Wholesale</x:v>
      </x:c>
      <x:c r="J12" s="12" t="n">
        <x:v>170</x:v>
      </x:c>
      <x:c r="K12" s="12" t="n">
        <x:v>349</x:v>
      </x:c>
      <x:c r="L12" s="14" t="n">
        <x:v>28</x:v>
      </x:c>
      <x:c r="M12" s="14" t="n">
        <x:v>31</x:v>
      </x:c>
      <x:c r="N12" s="14" t="n">
        <x:v>180</x:v>
      </x:c>
      <x:c r="O12" s="14" t="n">
        <x:v>18</x:v>
      </x:c>
      <x:c r="P12" t="str">
        <x:v>B26-ITA-03</x:v>
      </x:c>
      <x:c r="Q12" t="str"/>
      <x:c r="R12" t="str">
        <x:v>2026-07-13</x:v>
      </x:c>
      <x:c r="S12" s="1" t="b">
        <x:v>1</x:v>
      </x:c>
      <x:c r="T12" t="str">
        <x:v>LOW_STOCK</x:v>
      </x:c>
      <x:c r="U12" t="str">
        <x:v>At or below reorder level</x:v>
      </x:c>
    </x:row>
    <x:row r="13" ht="21" customHeight="1">
      <x:c r="A13" t="str">
        <x:v>ITA-0004</x:v>
      </x:c>
      <x:c r="B13" t="str">
        <x:v>USB Hub 4 Port</x:v>
      </x:c>
      <x:c r="C13" t="str">
        <x:v>IT Accessories</x:v>
      </x:c>
      <x:c r="D13" t="str">
        <x:v>DataLink</x:v>
      </x:c>
      <x:c r="E13" t="str">
        <x:v>piece</x:v>
      </x:c>
      <x:c r="F13" t="str">
        <x:v>8905000000123</x:v>
      </x:c>
      <x:c r="G13" t="str">
        <x:v>DEL-01</x:v>
      </x:c>
      <x:c r="H13" t="str">
        <x:v>ITA-A1-04</x:v>
      </x:c>
      <x:c r="I13" t="str">
        <x:v>ByteLine Wholesale</x:v>
      </x:c>
      <x:c r="J13" s="12" t="n">
        <x:v>620</x:v>
      </x:c>
      <x:c r="K13" s="12" t="n">
        <x:v>1099</x:v>
      </x:c>
      <x:c r="L13" s="14" t="n">
        <x:v>11</x:v>
      </x:c>
      <x:c r="M13" s="14" t="n">
        <x:v>11</x:v>
      </x:c>
      <x:c r="N13" s="14" t="n">
        <x:v>64</x:v>
      </x:c>
      <x:c r="O13" s="14" t="n">
        <x:v>18</x:v>
      </x:c>
      <x:c r="P13" t="str">
        <x:v>B26-ITA-04</x:v>
      </x:c>
      <x:c r="Q13" t="str"/>
      <x:c r="R13" t="str">
        <x:v>2026-07-06</x:v>
      </x:c>
      <x:c r="S13" s="1" t="b">
        <x:v>1</x:v>
      </x:c>
      <x:c r="T13" t="str">
        <x:v>LOW_STOCK</x:v>
      </x:c>
      <x:c r="U13" t="str">
        <x:v>At or below reorder level</x:v>
      </x:c>
    </x:row>
    <x:row r="14" ht="21" customHeight="1">
      <x:c r="A14" t="str">
        <x:v>ITA-0005</x:v>
      </x:c>
      <x:c r="B14" t="str">
        <x:v>Laptop Sleeve 15 Inch</x:v>
      </x:c>
      <x:c r="C14" t="str">
        <x:v>IT Accessories</x:v>
      </x:c>
      <x:c r="D14" t="str">
        <x:v>CarryPro</x:v>
      </x:c>
      <x:c r="E14" t="str">
        <x:v>piece</x:v>
      </x:c>
      <x:c r="F14" t="str">
        <x:v>8905000000130</x:v>
      </x:c>
      <x:c r="G14" t="str">
        <x:v>BLR-01</x:v>
      </x:c>
      <x:c r="H14" t="str">
        <x:v>ITA-A2-01</x:v>
      </x:c>
      <x:c r="I14" t="str">
        <x:v>ByteLine Wholesale</x:v>
      </x:c>
      <x:c r="J14" s="12" t="n">
        <x:v>440</x:v>
      </x:c>
      <x:c r="K14" s="12" t="n">
        <x:v>799</x:v>
      </x:c>
      <x:c r="L14" s="14" t="n">
        <x:v>19</x:v>
      </x:c>
      <x:c r="M14" s="14" t="n">
        <x:v>18</x:v>
      </x:c>
      <x:c r="N14" s="14" t="n">
        <x:v>104</x:v>
      </x:c>
      <x:c r="O14" s="14" t="n">
        <x:v>18</x:v>
      </x:c>
      <x:c r="P14" t="str">
        <x:v>B26-ITA-05</x:v>
      </x:c>
      <x:c r="Q14" t="str"/>
      <x:c r="R14" t="str">
        <x:v>2026-06-29</x:v>
      </x:c>
      <x:c r="S14" s="1" t="b">
        <x:v>1</x:v>
      </x:c>
      <x:c r="T14" t="str">
        <x:v>IN_STOCK</x:v>
      </x:c>
      <x:c r="U14" t="str"/>
    </x:row>
    <x:row r="15" ht="21" customHeight="1">
      <x:c r="A15" t="str">
        <x:v>ITA-0006</x:v>
      </x:c>
      <x:c r="B15" t="str">
        <x:v>DisplayPort Adapter</x:v>
      </x:c>
      <x:c r="C15" t="str">
        <x:v>IT Accessories</x:v>
      </x:c>
      <x:c r="D15" t="str">
        <x:v>CableMate</x:v>
      </x:c>
      <x:c r="E15" t="str">
        <x:v>piece</x:v>
      </x:c>
      <x:c r="F15" t="str">
        <x:v>8905000000147</x:v>
      </x:c>
      <x:c r="G15" t="str">
        <x:v>MUM-01</x:v>
      </x:c>
      <x:c r="H15" t="str">
        <x:v>ITA-A2-02</x:v>
      </x:c>
      <x:c r="I15" t="str">
        <x:v>ByteLine Wholesale</x:v>
      </x:c>
      <x:c r="J15" s="12" t="n">
        <x:v>390</x:v>
      </x:c>
      <x:c r="K15" s="12" t="n">
        <x:v>699</x:v>
      </x:c>
      <x:c r="L15" s="14" t="n">
        <x:v>52</x:v>
      </x:c>
      <x:c r="M15" s="14" t="n">
        <x:v>25</x:v>
      </x:c>
      <x:c r="N15" s="14" t="n">
        <x:v>144</x:v>
      </x:c>
      <x:c r="O15" s="14" t="n">
        <x:v>18</x:v>
      </x:c>
      <x:c r="P15" t="str">
        <x:v>B26-ITA-06</x:v>
      </x:c>
      <x:c r="Q15" t="str"/>
      <x:c r="R15" t="str">
        <x:v>2026-06-22</x:v>
      </x:c>
      <x:c r="S15" s="1" t="b">
        <x:v>1</x:v>
      </x:c>
      <x:c r="T15" t="str">
        <x:v>IN_STOCK</x:v>
      </x:c>
      <x:c r="U15" t="str"/>
    </x:row>
    <x:row r="16" ht="21" customHeight="1">
      <x:c r="A16" t="str">
        <x:v>ITA-0007</x:v>
      </x:c>
      <x:c r="B16" t="str">
        <x:v>SSD Enclosure USB 3.0</x:v>
      </x:c>
      <x:c r="C16" t="str">
        <x:v>IT Accessories</x:v>
      </x:c>
      <x:c r="D16" t="str">
        <x:v>DataLink</x:v>
      </x:c>
      <x:c r="E16" t="str">
        <x:v>piece</x:v>
      </x:c>
      <x:c r="F16" t="str">
        <x:v>8905000000154</x:v>
      </x:c>
      <x:c r="G16" t="str">
        <x:v>DEL-01</x:v>
      </x:c>
      <x:c r="H16" t="str">
        <x:v>ITA-A2-03</x:v>
      </x:c>
      <x:c r="I16" t="str">
        <x:v>ByteLine Wholesale</x:v>
      </x:c>
      <x:c r="J16" s="12" t="n">
        <x:v>720</x:v>
      </x:c>
      <x:c r="K16" s="12" t="n">
        <x:v>1299</x:v>
      </x:c>
      <x:c r="L16" s="14" t="n">
        <x:v>184</x:v>
      </x:c>
      <x:c r="M16" s="14" t="n">
        <x:v>32</x:v>
      </x:c>
      <x:c r="N16" s="14" t="n">
        <x:v>184</x:v>
      </x:c>
      <x:c r="O16" s="14" t="n">
        <x:v>18</x:v>
      </x:c>
      <x:c r="P16" t="str">
        <x:v>B26-ITA-07</x:v>
      </x:c>
      <x:c r="Q16" t="str"/>
      <x:c r="R16" t="str">
        <x:v>2026-06-15</x:v>
      </x:c>
      <x:c r="S16" s="1" t="b">
        <x:v>1</x:v>
      </x:c>
      <x:c r="T16" t="str">
        <x:v>IN_STOCK</x:v>
      </x:c>
      <x:c r="U16" t="str"/>
    </x:row>
    <x:row r="17" ht="21" customHeight="1">
      <x:c r="A17" t="str">
        <x:v>ITA-0008</x:v>
      </x:c>
      <x:c r="B17" t="str">
        <x:v>Monitor Stand Riser</x:v>
      </x:c>
      <x:c r="C17" t="str">
        <x:v>IT Accessories</x:v>
      </x:c>
      <x:c r="D17" t="str">
        <x:v>DeskFlex</x:v>
      </x:c>
      <x:c r="E17" t="str">
        <x:v>piece</x:v>
      </x:c>
      <x:c r="F17" t="str">
        <x:v>8905000000161</x:v>
      </x:c>
      <x:c r="G17" t="str">
        <x:v>BLR-01</x:v>
      </x:c>
      <x:c r="H17" t="str">
        <x:v>ITA-A2-04</x:v>
      </x:c>
      <x:c r="I17" t="str">
        <x:v>ByteLine Wholesale</x:v>
      </x:c>
      <x:c r="J17" s="12" t="n">
        <x:v>900</x:v>
      </x:c>
      <x:c r="K17" s="12" t="n">
        <x:v>1499</x:v>
      </x:c>
      <x:c r="L17" s="14" t="n">
        <x:v>88</x:v>
      </x:c>
      <x:c r="M17" s="14" t="n">
        <x:v>12</x:v>
      </x:c>
      <x:c r="N17" s="14" t="n">
        <x:v>68</x:v>
      </x:c>
      <x:c r="O17" s="14" t="n">
        <x:v>18</x:v>
      </x:c>
      <x:c r="P17" t="str">
        <x:v>B26-ITA-08</x:v>
      </x:c>
      <x:c r="Q17" t="str"/>
      <x:c r="R17" t="str">
        <x:v>2026-06-08</x:v>
      </x:c>
      <x:c r="S17" s="1" t="b">
        <x:v>0</x:v>
      </x:c>
      <x:c r="T17" t="str">
        <x:v>DISCONTINUED</x:v>
      </x:c>
      <x:c r="U17" t="str">
        <x:v>Discontinued SKU - disable new purchases</x:v>
      </x:c>
    </x:row>
    <x:row r="18" ht="21" customHeight="1">
      <x:c r="A18" t="str">
        <x:v>STA-0001</x:v>
      </x:c>
      <x:c r="B18" t="str">
        <x:v>A4 Copy Paper 500 Sheets</x:v>
      </x:c>
      <x:c r="C18" t="str">
        <x:v>Stationery</x:v>
      </x:c>
      <x:c r="D18" t="str">
        <x:v>WriteRight</x:v>
      </x:c>
      <x:c r="E18" t="str">
        <x:v>ream</x:v>
      </x:c>
      <x:c r="F18" t="str">
        <x:v>8905000000178</x:v>
      </x:c>
      <x:c r="G18" t="str">
        <x:v>MUM-01</x:v>
      </x:c>
      <x:c r="H18" t="str">
        <x:v>STA-A1-01</x:v>
      </x:c>
      <x:c r="I18" t="str">
        <x:v>PaperTrail Distributors</x:v>
      </x:c>
      <x:c r="J18" s="12" t="n">
        <x:v>225</x:v>
      </x:c>
      <x:c r="K18" s="12" t="n">
        <x:v>330</x:v>
      </x:c>
      <x:c r="L18" s="14" t="n">
        <x:v>26</x:v>
      </x:c>
      <x:c r="M18" s="14" t="n">
        <x:v>19</x:v>
      </x:c>
      <x:c r="N18" s="14" t="n">
        <x:v>108</x:v>
      </x:c>
      <x:c r="O18" s="14" t="n">
        <x:v>12</x:v>
      </x:c>
      <x:c r="P18" t="str">
        <x:v>B26-STA-01</x:v>
      </x:c>
      <x:c r="Q18" t="str"/>
      <x:c r="R18" t="str">
        <x:v>2026-06-01</x:v>
      </x:c>
      <x:c r="S18" s="1" t="b">
        <x:v>1</x:v>
      </x:c>
      <x:c r="T18" t="str">
        <x:v>IN_STOCK</x:v>
      </x:c>
      <x:c r="U18" t="str"/>
    </x:row>
    <x:row r="19" ht="21" customHeight="1">
      <x:c r="A19" t="str">
        <x:v>STA-0002</x:v>
      </x:c>
      <x:c r="B19" t="str">
        <x:v>Ball Pen Blue 10 Pack</x:v>
      </x:c>
      <x:c r="C19" t="str">
        <x:v>Stationery</x:v>
      </x:c>
      <x:c r="D19" t="str">
        <x:v>WriteRight</x:v>
      </x:c>
      <x:c r="E19" t="str">
        <x:v>pack</x:v>
      </x:c>
      <x:c r="F19" t="str">
        <x:v>8905000000185</x:v>
      </x:c>
      <x:c r="G19" t="str">
        <x:v>DEL-01</x:v>
      </x:c>
      <x:c r="H19" t="str">
        <x:v>STA-A1-02</x:v>
      </x:c>
      <x:c r="I19" t="str">
        <x:v>PaperTrail Distributors</x:v>
      </x:c>
      <x:c r="J19" s="12" t="n">
        <x:v>90</x:v>
      </x:c>
      <x:c r="K19" s="12" t="n">
        <x:v>150</x:v>
      </x:c>
      <x:c r="L19" s="14" t="n">
        <x:v>68</x:v>
      </x:c>
      <x:c r="M19" s="14" t="n">
        <x:v>26</x:v>
      </x:c>
      <x:c r="N19" s="14" t="n">
        <x:v>148</x:v>
      </x:c>
      <x:c r="O19" s="14" t="n">
        <x:v>12</x:v>
      </x:c>
      <x:c r="P19" t="str">
        <x:v>B26-STA-02</x:v>
      </x:c>
      <x:c r="Q19" t="str"/>
      <x:c r="R19" t="str">
        <x:v>2026-05-25</x:v>
      </x:c>
      <x:c r="S19" s="1" t="b">
        <x:v>1</x:v>
      </x:c>
      <x:c r="T19" t="str">
        <x:v>IN_STOCK</x:v>
      </x:c>
      <x:c r="U19" t="str"/>
    </x:row>
    <x:row r="20" ht="21" customHeight="1">
      <x:c r="A20" t="str">
        <x:v>STA-0003</x:v>
      </x:c>
      <x:c r="B20" t="str">
        <x:v>Permanent Marker Black</x:v>
      </x:c>
      <x:c r="C20" t="str">
        <x:v>Stationery</x:v>
      </x:c>
      <x:c r="D20" t="str">
        <x:v>OfficePoint</x:v>
      </x:c>
      <x:c r="E20" t="str">
        <x:v>piece</x:v>
      </x:c>
      <x:c r="F20" t="str">
        <x:v>8905000000192</x:v>
      </x:c>
      <x:c r="G20" t="str">
        <x:v>BLR-01</x:v>
      </x:c>
      <x:c r="H20" t="str">
        <x:v>STA-A1-03</x:v>
      </x:c>
      <x:c r="I20" t="str">
        <x:v>PaperTrail Distributors</x:v>
      </x:c>
      <x:c r="J20" s="12" t="n">
        <x:v>33</x:v>
      </x:c>
      <x:c r="K20" s="12" t="n">
        <x:v>65</x:v>
      </x:c>
      <x:c r="L20" s="14" t="n">
        <x:v>0</x:v>
      </x:c>
      <x:c r="M20" s="14" t="n">
        <x:v>33</x:v>
      </x:c>
      <x:c r="N20" s="14" t="n">
        <x:v>188</x:v>
      </x:c>
      <x:c r="O20" s="14" t="n">
        <x:v>12</x:v>
      </x:c>
      <x:c r="P20" t="str">
        <x:v>B26-STA-03</x:v>
      </x:c>
      <x:c r="Q20" t="str"/>
      <x:c r="R20" t="str">
        <x:v>2026-05-18</x:v>
      </x:c>
      <x:c r="S20" s="1" t="b">
        <x:v>1</x:v>
      </x:c>
      <x:c r="T20" t="str">
        <x:v>OUT_OF_STOCK</x:v>
      </x:c>
      <x:c r="U20" t="str">
        <x:v>Zero stock - replenishment check</x:v>
      </x:c>
    </x:row>
    <x:row r="21" ht="21" customHeight="1">
      <x:c r="A21" t="str">
        <x:v>STA-0004</x:v>
      </x:c>
      <x:c r="B21" t="str">
        <x:v>Sticky Notes 3x3</x:v>
      </x:c>
      <x:c r="C21" t="str">
        <x:v>Stationery</x:v>
      </x:c>
      <x:c r="D21" t="str">
        <x:v>NoteEase</x:v>
      </x:c>
      <x:c r="E21" t="str">
        <x:v>pack</x:v>
      </x:c>
      <x:c r="F21" t="str">
        <x:v>8905000000208</x:v>
      </x:c>
      <x:c r="G21" t="str">
        <x:v>MUM-01</x:v>
      </x:c>
      <x:c r="H21" t="str">
        <x:v>STA-A1-04</x:v>
      </x:c>
      <x:c r="I21" t="str">
        <x:v>PaperTrail Distributors</x:v>
      </x:c>
      <x:c r="J21" s="12" t="n">
        <x:v>45</x:v>
      </x:c>
      <x:c r="K21" s="12" t="n">
        <x:v>89</x:v>
      </x:c>
      <x:c r="L21" s="14" t="n">
        <x:v>10</x:v>
      </x:c>
      <x:c r="M21" s="14" t="n">
        <x:v>13</x:v>
      </x:c>
      <x:c r="N21" s="14" t="n">
        <x:v>72</x:v>
      </x:c>
      <x:c r="O21" s="14" t="n">
        <x:v>12</x:v>
      </x:c>
      <x:c r="P21" t="str">
        <x:v>B26-STA-04</x:v>
      </x:c>
      <x:c r="Q21" t="str"/>
      <x:c r="R21" t="str">
        <x:v>2026-05-11</x:v>
      </x:c>
      <x:c r="S21" s="1" t="b">
        <x:v>1</x:v>
      </x:c>
      <x:c r="T21" t="str">
        <x:v>LOW_STOCK</x:v>
      </x:c>
      <x:c r="U21" t="str">
        <x:v>At or below reorder level</x:v>
      </x:c>
    </x:row>
    <x:row r="22" ht="21" customHeight="1">
      <x:c r="A22" t="str">
        <x:v>STA-0005</x:v>
      </x:c>
      <x:c r="B22" t="str">
        <x:v>Notebook A5 200 Pages</x:v>
      </x:c>
      <x:c r="C22" t="str">
        <x:v>Stationery</x:v>
      </x:c>
      <x:c r="D22" t="str">
        <x:v>NoteEase</x:v>
      </x:c>
      <x:c r="E22" t="str">
        <x:v>piece</x:v>
      </x:c>
      <x:c r="F22" t="str">
        <x:v>8905000000215</x:v>
      </x:c>
      <x:c r="G22" t="str">
        <x:v>DEL-01</x:v>
      </x:c>
      <x:c r="H22" t="str">
        <x:v>STA-A2-01</x:v>
      </x:c>
      <x:c r="I22" t="str">
        <x:v>PaperTrail Distributors</x:v>
      </x:c>
      <x:c r="J22" s="12" t="n">
        <x:v>80</x:v>
      </x:c>
      <x:c r="K22" s="12" t="n">
        <x:v>145</x:v>
      </x:c>
      <x:c r="L22" s="14" t="n">
        <x:v>20</x:v>
      </x:c>
      <x:c r="M22" s="14" t="n">
        <x:v>20</x:v>
      </x:c>
      <x:c r="N22" s="14" t="n">
        <x:v>112</x:v>
      </x:c>
      <x:c r="O22" s="14" t="n">
        <x:v>12</x:v>
      </x:c>
      <x:c r="P22" t="str">
        <x:v>B26-STA-05</x:v>
      </x:c>
      <x:c r="Q22" t="str"/>
      <x:c r="R22" t="str">
        <x:v>2026-05-04</x:v>
      </x:c>
      <x:c r="S22" s="1" t="b">
        <x:v>1</x:v>
      </x:c>
      <x:c r="T22" t="str">
        <x:v>LOW_STOCK</x:v>
      </x:c>
      <x:c r="U22" t="str">
        <x:v>At or below reorder level</x:v>
      </x:c>
    </x:row>
    <x:row r="23" ht="21" customHeight="1">
      <x:c r="A23" t="str">
        <x:v>STA-0006</x:v>
      </x:c>
      <x:c r="B23" t="str">
        <x:v>Stapler Medium</x:v>
      </x:c>
      <x:c r="C23" t="str">
        <x:v>Stationery</x:v>
      </x:c>
      <x:c r="D23" t="str">
        <x:v>OfficePoint</x:v>
      </x:c>
      <x:c r="E23" t="str">
        <x:v>piece</x:v>
      </x:c>
      <x:c r="F23" t="str">
        <x:v>8905000000222</x:v>
      </x:c>
      <x:c r="G23" t="str">
        <x:v>BLR-01</x:v>
      </x:c>
      <x:c r="H23" t="str">
        <x:v>STA-A2-02</x:v>
      </x:c>
      <x:c r="I23" t="str">
        <x:v>PaperTrail Distributors</x:v>
      </x:c>
      <x:c r="J23" s="12" t="n">
        <x:v>110</x:v>
      </x:c>
      <x:c r="K23" s="12" t="n">
        <x:v>190</x:v>
      </x:c>
      <x:c r="L23" s="14" t="n">
        <x:v>28</x:v>
      </x:c>
      <x:c r="M23" s="14" t="n">
        <x:v>27</x:v>
      </x:c>
      <x:c r="N23" s="14" t="n">
        <x:v>152</x:v>
      </x:c>
      <x:c r="O23" s="14" t="n">
        <x:v>12</x:v>
      </x:c>
      <x:c r="P23" t="str">
        <x:v>B26-STA-06</x:v>
      </x:c>
      <x:c r="Q23" t="str"/>
      <x:c r="R23" t="str">
        <x:v>2026-04-27</x:v>
      </x:c>
      <x:c r="S23" s="1" t="b">
        <x:v>1</x:v>
      </x:c>
      <x:c r="T23" t="str">
        <x:v>IN_STOCK</x:v>
      </x:c>
      <x:c r="U23" t="str"/>
    </x:row>
    <x:row r="24" ht="21" customHeight="1">
      <x:c r="A24" t="str">
        <x:v>STA-0007</x:v>
      </x:c>
      <x:c r="B24" t="str">
        <x:v>Binder Clips 32mm 12 Pack</x:v>
      </x:c>
      <x:c r="C24" t="str">
        <x:v>Stationery</x:v>
      </x:c>
      <x:c r="D24" t="str">
        <x:v>OfficePoint</x:v>
      </x:c>
      <x:c r="E24" t="str">
        <x:v>pack</x:v>
      </x:c>
      <x:c r="F24" t="str">
        <x:v>8905000000239</x:v>
      </x:c>
      <x:c r="G24" t="str">
        <x:v>MUM-01</x:v>
      </x:c>
      <x:c r="H24" t="str">
        <x:v>STA-A2-03</x:v>
      </x:c>
      <x:c r="I24" t="str">
        <x:v>PaperTrail Distributors</x:v>
      </x:c>
      <x:c r="J24" s="12" t="n">
        <x:v>60</x:v>
      </x:c>
      <x:c r="K24" s="12" t="n">
        <x:v>115</x:v>
      </x:c>
      <x:c r="L24" s="14" t="n">
        <x:v>61</x:v>
      </x:c>
      <x:c r="M24" s="14" t="n">
        <x:v>34</x:v>
      </x:c>
      <x:c r="N24" s="14" t="n">
        <x:v>192</x:v>
      </x:c>
      <x:c r="O24" s="14" t="n">
        <x:v>12</x:v>
      </x:c>
      <x:c r="P24" t="str">
        <x:v>B26-STA-07</x:v>
      </x:c>
      <x:c r="Q24" t="str"/>
      <x:c r="R24" t="str">
        <x:v>2026-04-20</x:v>
      </x:c>
      <x:c r="S24" s="1" t="b">
        <x:v>1</x:v>
      </x:c>
      <x:c r="T24" t="str">
        <x:v>IN_STOCK</x:v>
      </x:c>
      <x:c r="U24" t="str"/>
    </x:row>
    <x:row r="25" ht="21" customHeight="1">
      <x:c r="A25" t="str">
        <x:v>STA-0008</x:v>
      </x:c>
      <x:c r="B25" t="str">
        <x:v>Whiteboard Marker 4 Pack</x:v>
      </x:c>
      <x:c r="C25" t="str">
        <x:v>Stationery</x:v>
      </x:c>
      <x:c r="D25" t="str">
        <x:v>WriteRight</x:v>
      </x:c>
      <x:c r="E25" t="str">
        <x:v>pack</x:v>
      </x:c>
      <x:c r="F25" t="str">
        <x:v>8905000000246</x:v>
      </x:c>
      <x:c r="G25" t="str">
        <x:v>DEL-01</x:v>
      </x:c>
      <x:c r="H25" t="str">
        <x:v>STA-A2-04</x:v>
      </x:c>
      <x:c r="I25" t="str">
        <x:v>PaperTrail Distributors</x:v>
      </x:c>
      <x:c r="J25" s="12" t="n">
        <x:v>130</x:v>
      </x:c>
      <x:c r="K25" s="12" t="n">
        <x:v>225</x:v>
      </x:c>
      <x:c r="L25" s="14" t="n">
        <x:v>76</x:v>
      </x:c>
      <x:c r="M25" s="14" t="n">
        <x:v>14</x:v>
      </x:c>
      <x:c r="N25" s="14" t="n">
        <x:v>76</x:v>
      </x:c>
      <x:c r="O25" s="14" t="n">
        <x:v>12</x:v>
      </x:c>
      <x:c r="P25" t="str">
        <x:v>B26-STA-08</x:v>
      </x:c>
      <x:c r="Q25" t="str"/>
      <x:c r="R25" t="str">
        <x:v>2026-09-25</x:v>
      </x:c>
      <x:c r="S25" s="1" t="b">
        <x:v>1</x:v>
      </x:c>
      <x:c r="T25" t="str">
        <x:v>IN_STOCK</x:v>
      </x:c>
      <x:c r="U25" t="str"/>
    </x:row>
    <x:row r="26" ht="21" customHeight="1">
      <x:c r="A26" t="str">
        <x:v>FUR-0001</x:v>
      </x:c>
      <x:c r="B26" t="str">
        <x:v>Ergonomic Office Chair</x:v>
      </x:c>
      <x:c r="C26" t="str">
        <x:v>Office Furniture</x:v>
      </x:c>
      <x:c r="D26" t="str">
        <x:v>FurniSpace</x:v>
      </x:c>
      <x:c r="E26" t="str">
        <x:v>piece</x:v>
      </x:c>
      <x:c r="F26" t="str">
        <x:v>8905000000253</x:v>
      </x:c>
      <x:c r="G26" t="str">
        <x:v>BLR-01</x:v>
      </x:c>
      <x:c r="H26" t="str">
        <x:v>FUR-A1-01</x:v>
      </x:c>
      <x:c r="I26" t="str">
        <x:v>Urban Office Furnishings</x:v>
      </x:c>
      <x:c r="J26" s="12" t="n">
        <x:v>5500</x:v>
      </x:c>
      <x:c r="K26" s="12" t="n">
        <x:v>8499</x:v>
      </x:c>
      <x:c r="L26" s="14" t="n">
        <x:v>136</x:v>
      </x:c>
      <x:c r="M26" s="14" t="n">
        <x:v>21</x:v>
      </x:c>
      <x:c r="N26" s="14" t="n">
        <x:v>116</x:v>
      </x:c>
      <x:c r="O26" s="14" t="n">
        <x:v>18</x:v>
      </x:c>
      <x:c r="P26" t="str">
        <x:v>B26-FUR-01</x:v>
      </x:c>
      <x:c r="Q26" t="str"/>
      <x:c r="R26" t="str">
        <x:v>2026-09-18</x:v>
      </x:c>
      <x:c r="S26" s="1" t="b">
        <x:v>1</x:v>
      </x:c>
      <x:c r="T26" t="str">
        <x:v>OVERSTOCK</x:v>
      </x:c>
      <x:c r="U26" t="str">
        <x:v>Over maximum stock threshold</x:v>
      </x:c>
    </x:row>
    <x:row r="27" ht="21" customHeight="1">
      <x:c r="A27" t="str">
        <x:v>FUR-0002</x:v>
      </x:c>
      <x:c r="B27" t="str">
        <x:v>Visitor Chair</x:v>
      </x:c>
      <x:c r="C27" t="str">
        <x:v>Office Furniture</x:v>
      </x:c>
      <x:c r="D27" t="str">
        <x:v>FurniSpace</x:v>
      </x:c>
      <x:c r="E27" t="str">
        <x:v>piece</x:v>
      </x:c>
      <x:c r="F27" t="str">
        <x:v>8905000000260</x:v>
      </x:c>
      <x:c r="G27" t="str">
        <x:v>MUM-01</x:v>
      </x:c>
      <x:c r="H27" t="str">
        <x:v>FUR-A1-02</x:v>
      </x:c>
      <x:c r="I27" t="str">
        <x:v>Urban Office Furnishings</x:v>
      </x:c>
      <x:c r="J27" s="12" t="n">
        <x:v>2100</x:v>
      </x:c>
      <x:c r="K27" s="12" t="n">
        <x:v>3299</x:v>
      </x:c>
      <x:c r="L27" s="14" t="n">
        <x:v>35</x:v>
      </x:c>
      <x:c r="M27" s="14" t="n">
        <x:v>28</x:v>
      </x:c>
      <x:c r="N27" s="14" t="n">
        <x:v>156</x:v>
      </x:c>
      <x:c r="O27" s="14" t="n">
        <x:v>18</x:v>
      </x:c>
      <x:c r="P27" t="str">
        <x:v>B26-FUR-02</x:v>
      </x:c>
      <x:c r="Q27" t="str"/>
      <x:c r="R27" t="str">
        <x:v>2026-09-11</x:v>
      </x:c>
      <x:c r="S27" s="1" t="b">
        <x:v>1</x:v>
      </x:c>
      <x:c r="T27" t="str">
        <x:v>IN_STOCK</x:v>
      </x:c>
      <x:c r="U27" t="str"/>
    </x:row>
    <x:row r="28" ht="21" customHeight="1">
      <x:c r="A28" t="str">
        <x:v>FUR-0003</x:v>
      </x:c>
      <x:c r="B28" t="str">
        <x:v>Standing Desk Converter</x:v>
      </x:c>
      <x:c r="C28" t="str">
        <x:v>Office Furniture</x:v>
      </x:c>
      <x:c r="D28" t="str">
        <x:v>DeskFlex</x:v>
      </x:c>
      <x:c r="E28" t="str">
        <x:v>piece</x:v>
      </x:c>
      <x:c r="F28" t="str">
        <x:v>8905000000277</x:v>
      </x:c>
      <x:c r="G28" t="str">
        <x:v>DEL-01</x:v>
      </x:c>
      <x:c r="H28" t="str">
        <x:v>FUR-A1-03</x:v>
      </x:c>
      <x:c r="I28" t="str">
        <x:v>Urban Office Furnishings</x:v>
      </x:c>
      <x:c r="J28" s="12" t="n">
        <x:v>7900</x:v>
      </x:c>
      <x:c r="K28" s="12" t="n">
        <x:v>11999</x:v>
      </x:c>
      <x:c r="L28" s="14" t="n">
        <x:v>50</x:v>
      </x:c>
      <x:c r="M28" s="14" t="n">
        <x:v>8</x:v>
      </x:c>
      <x:c r="N28" s="14" t="n">
        <x:v>88</x:v>
      </x:c>
      <x:c r="O28" s="14" t="n">
        <x:v>18</x:v>
      </x:c>
      <x:c r="P28" t="str">
        <x:v>B26-FUR-03</x:v>
      </x:c>
      <x:c r="Q28" t="str"/>
      <x:c r="R28" t="str">
        <x:v>2026-09-04</x:v>
      </x:c>
      <x:c r="S28" s="1" t="b">
        <x:v>1</x:v>
      </x:c>
      <x:c r="T28" t="str">
        <x:v>IN_STOCK</x:v>
      </x:c>
      <x:c r="U28" t="str"/>
    </x:row>
    <x:row r="29" ht="21" customHeight="1">
      <x:c r="A29" t="str">
        <x:v>FUR-0004</x:v>
      </x:c>
      <x:c r="B29" t="str">
        <x:v>Metal Filing Cabinet</x:v>
      </x:c>
      <x:c r="C29" t="str">
        <x:v>Office Furniture</x:v>
      </x:c>
      <x:c r="D29" t="str">
        <x:v>StoreWell</x:v>
      </x:c>
      <x:c r="E29" t="str">
        <x:v>piece</x:v>
      </x:c>
      <x:c r="F29" t="str">
        <x:v>8905000000284</x:v>
      </x:c>
      <x:c r="G29" t="str">
        <x:v>BLR-01</x:v>
      </x:c>
      <x:c r="H29" t="str">
        <x:v>FUR-A1-04</x:v>
      </x:c>
      <x:c r="I29" t="str">
        <x:v>Urban Office Furnishings</x:v>
      </x:c>
      <x:c r="J29" s="12" t="n">
        <x:v>6600</x:v>
      </x:c>
      <x:c r="K29" s="12" t="n">
        <x:v>9899</x:v>
      </x:c>
      <x:c r="L29" s="14" t="n">
        <x:v>0</x:v>
      </x:c>
      <x:c r="M29" s="14" t="n">
        <x:v>15</x:v>
      </x:c>
      <x:c r="N29" s="14" t="n">
        <x:v>80</x:v>
      </x:c>
      <x:c r="O29" s="14" t="n">
        <x:v>18</x:v>
      </x:c>
      <x:c r="P29" t="str">
        <x:v>B26-FUR-04</x:v>
      </x:c>
      <x:c r="Q29" t="str"/>
      <x:c r="R29" t="str">
        <x:v>2026-08-28</x:v>
      </x:c>
      <x:c r="S29" s="1" t="b">
        <x:v>1</x:v>
      </x:c>
      <x:c r="T29" t="str">
        <x:v>OUT_OF_STOCK</x:v>
      </x:c>
      <x:c r="U29" t="str">
        <x:v>Zero stock - replenishment check</x:v>
      </x:c>
    </x:row>
    <x:row r="30" ht="21" customHeight="1">
      <x:c r="A30" t="str">
        <x:v>FUR-0005</x:v>
      </x:c>
      <x:c r="B30" t="str">
        <x:v>Monitor Arm Single</x:v>
      </x:c>
      <x:c r="C30" t="str">
        <x:v>Office Furniture</x:v>
      </x:c>
      <x:c r="D30" t="str">
        <x:v>DeskFlex</x:v>
      </x:c>
      <x:c r="E30" t="str">
        <x:v>piece</x:v>
      </x:c>
      <x:c r="F30" t="str">
        <x:v>8905000000291</x:v>
      </x:c>
      <x:c r="G30" t="str">
        <x:v>MUM-01</x:v>
      </x:c>
      <x:c r="H30" t="str">
        <x:v>FUR-A2-01</x:v>
      </x:c>
      <x:c r="I30" t="str">
        <x:v>Urban Office Furnishings</x:v>
      </x:c>
      <x:c r="J30" s="12" t="n">
        <x:v>1850</x:v>
      </x:c>
      <x:c r="K30" s="12" t="n">
        <x:v>2999</x:v>
      </x:c>
      <x:c r="L30" s="14" t="n">
        <x:v>19</x:v>
      </x:c>
      <x:c r="M30" s="14" t="n">
        <x:v>22</x:v>
      </x:c>
      <x:c r="N30" s="14" t="n">
        <x:v>120</x:v>
      </x:c>
      <x:c r="O30" s="14" t="n">
        <x:v>18</x:v>
      </x:c>
      <x:c r="P30" t="str">
        <x:v>B26-FUR-05</x:v>
      </x:c>
      <x:c r="Q30" t="str"/>
      <x:c r="R30" t="str">
        <x:v>2026-08-21</x:v>
      </x:c>
      <x:c r="S30" s="1" t="b">
        <x:v>1</x:v>
      </x:c>
      <x:c r="T30" t="str">
        <x:v>LOW_STOCK</x:v>
      </x:c>
      <x:c r="U30" t="str">
        <x:v>At or below reorder level</x:v>
      </x:c>
    </x:row>
    <x:row r="31" ht="21" customHeight="1">
      <x:c r="A31" t="str">
        <x:v>FUR-0006</x:v>
      </x:c>
      <x:c r="B31" t="str">
        <x:v>Foot Rest Adjustable</x:v>
      </x:c>
      <x:c r="C31" t="str">
        <x:v>Office Furniture</x:v>
      </x:c>
      <x:c r="D31" t="str">
        <x:v>FurniSpace</x:v>
      </x:c>
      <x:c r="E31" t="str">
        <x:v>piece</x:v>
      </x:c>
      <x:c r="F31" t="str">
        <x:v>8905000000307</x:v>
      </x:c>
      <x:c r="G31" t="str">
        <x:v>DEL-01</x:v>
      </x:c>
      <x:c r="H31" t="str">
        <x:v>FUR-A2-02</x:v>
      </x:c>
      <x:c r="I31" t="str">
        <x:v>Urban Office Furnishings</x:v>
      </x:c>
      <x:c r="J31" s="12" t="n">
        <x:v>650</x:v>
      </x:c>
      <x:c r="K31" s="12" t="n">
        <x:v>1199</x:v>
      </x:c>
      <x:c r="L31" s="14" t="n">
        <x:v>29</x:v>
      </x:c>
      <x:c r="M31" s="14" t="n">
        <x:v>29</x:v>
      </x:c>
      <x:c r="N31" s="14" t="n">
        <x:v>160</x:v>
      </x:c>
      <x:c r="O31" s="14" t="n">
        <x:v>18</x:v>
      </x:c>
      <x:c r="P31" t="str">
        <x:v>B26-FUR-06</x:v>
      </x:c>
      <x:c r="Q31" t="str"/>
      <x:c r="R31" t="str">
        <x:v>2026-08-14</x:v>
      </x:c>
      <x:c r="S31" s="1" t="b">
        <x:v>1</x:v>
      </x:c>
      <x:c r="T31" t="str">
        <x:v>LOW_STOCK</x:v>
      </x:c>
      <x:c r="U31" t="str">
        <x:v>At or below reorder level</x:v>
      </x:c>
    </x:row>
    <x:row r="32" ht="21" customHeight="1">
      <x:c r="A32" t="str">
        <x:v>FUR-0007</x:v>
      </x:c>
      <x:c r="B32" t="str">
        <x:v>Mobile Pedestal Drawer</x:v>
      </x:c>
      <x:c r="C32" t="str">
        <x:v>Office Furniture</x:v>
      </x:c>
      <x:c r="D32" t="str">
        <x:v>StoreWell</x:v>
      </x:c>
      <x:c r="E32" t="str">
        <x:v>piece</x:v>
      </x:c>
      <x:c r="F32" t="str">
        <x:v>8905000000314</x:v>
      </x:c>
      <x:c r="G32" t="str">
        <x:v>BLR-01</x:v>
      </x:c>
      <x:c r="H32" t="str">
        <x:v>FUR-A2-03</x:v>
      </x:c>
      <x:c r="I32" t="str">
        <x:v>Urban Office Furnishings</x:v>
      </x:c>
      <x:c r="J32" s="12" t="n">
        <x:v>3750</x:v>
      </x:c>
      <x:c r="K32" s="12" t="n">
        <x:v>5499</x:v>
      </x:c>
      <x:c r="L32" s="14" t="n">
        <x:v>10</x:v>
      </x:c>
      <x:c r="M32" s="14" t="n">
        <x:v>9</x:v>
      </x:c>
      <x:c r="N32" s="14" t="n">
        <x:v>92</x:v>
      </x:c>
      <x:c r="O32" s="14" t="n">
        <x:v>18</x:v>
      </x:c>
      <x:c r="P32" t="str">
        <x:v>B26-FUR-07</x:v>
      </x:c>
      <x:c r="Q32" t="str"/>
      <x:c r="R32" t="str">
        <x:v>2026-08-07</x:v>
      </x:c>
      <x:c r="S32" s="1" t="b">
        <x:v>1</x:v>
      </x:c>
      <x:c r="T32" t="str">
        <x:v>IN_STOCK</x:v>
      </x:c>
      <x:c r="U32" t="str"/>
    </x:row>
    <x:row r="33" ht="21" customHeight="1">
      <x:c r="A33" t="str">
        <x:v>FUR-0008</x:v>
      </x:c>
      <x:c r="B33" t="str">
        <x:v>Desk Organizer Set</x:v>
      </x:c>
      <x:c r="C33" t="str">
        <x:v>Office Furniture</x:v>
      </x:c>
      <x:c r="D33" t="str">
        <x:v>OfficePoint</x:v>
      </x:c>
      <x:c r="E33" t="str">
        <x:v>set</x:v>
      </x:c>
      <x:c r="F33" t="str">
        <x:v>8905000000321</x:v>
      </x:c>
      <x:c r="G33" t="str">
        <x:v>MUM-01</x:v>
      </x:c>
      <x:c r="H33" t="str">
        <x:v>FUR-A2-04</x:v>
      </x:c>
      <x:c r="I33" t="str">
        <x:v>Urban Office Furnishings</x:v>
      </x:c>
      <x:c r="J33" s="12" t="n">
        <x:v>360</x:v>
      </x:c>
      <x:c r="K33" s="12" t="n">
        <x:v>649</x:v>
      </x:c>
      <x:c r="L33" s="14" t="n">
        <x:v>43</x:v>
      </x:c>
      <x:c r="M33" s="14" t="n">
        <x:v>16</x:v>
      </x:c>
      <x:c r="N33" s="14" t="n">
        <x:v>84</x:v>
      </x:c>
      <x:c r="O33" s="14" t="n">
        <x:v>18</x:v>
      </x:c>
      <x:c r="P33" t="str">
        <x:v>B26-FUR-08</x:v>
      </x:c>
      <x:c r="Q33" t="str"/>
      <x:c r="R33" t="str">
        <x:v>2026-07-31</x:v>
      </x:c>
      <x:c r="S33" s="1" t="b">
        <x:v>1</x:v>
      </x:c>
      <x:c r="T33" t="str">
        <x:v>IN_STOCK</x:v>
      </x:c>
      <x:c r="U33" t="str"/>
    </x:row>
    <x:row r="34" ht="21" customHeight="1">
      <x:c r="A34" t="str">
        <x:v>CLN-0001</x:v>
      </x:c>
      <x:c r="B34" t="str">
        <x:v>Floor Cleaner 1L</x:v>
      </x:c>
      <x:c r="C34" t="str">
        <x:v>Cleaning</x:v>
      </x:c>
      <x:c r="D34" t="str">
        <x:v>CleanWave</x:v>
      </x:c>
      <x:c r="E34" t="str">
        <x:v>bottle</x:v>
      </x:c>
      <x:c r="F34" t="str">
        <x:v>8905000000338</x:v>
      </x:c>
      <x:c r="G34" t="str">
        <x:v>DEL-01</x:v>
      </x:c>
      <x:c r="H34" t="str">
        <x:v>CLN-A1-01</x:v>
      </x:c>
      <x:c r="I34" t="str">
        <x:v>FreshCare Traders</x:v>
      </x:c>
      <x:c r="J34" s="12" t="n">
        <x:v>105</x:v>
      </x:c>
      <x:c r="K34" s="12" t="n">
        <x:v>180</x:v>
      </x:c>
      <x:c r="L34" s="14" t="n">
        <x:v>124</x:v>
      </x:c>
      <x:c r="M34" s="14" t="n">
        <x:v>23</x:v>
      </x:c>
      <x:c r="N34" s="14" t="n">
        <x:v>124</x:v>
      </x:c>
      <x:c r="O34" s="14" t="n">
        <x:v>18</x:v>
      </x:c>
      <x:c r="P34" t="str">
        <x:v>B26-CLN-01</x:v>
      </x:c>
      <x:c r="Q34" t="str">
        <x:v>2026-09-20</x:v>
      </x:c>
      <x:c r="R34" t="str">
        <x:v>2026-07-24</x:v>
      </x:c>
      <x:c r="S34" s="1" t="b">
        <x:v>1</x:v>
      </x:c>
      <x:c r="T34" t="str">
        <x:v>IN_STOCK</x:v>
      </x:c>
      <x:c r="U34" t="str">
        <x:v>Expired batch - quarantine; do not sell</x:v>
      </x:c>
    </x:row>
    <x:row r="35" ht="21" customHeight="1">
      <x:c r="A35" t="str">
        <x:v>CLN-0002</x:v>
      </x:c>
      <x:c r="B35" t="str">
        <x:v>Hand Sanitizer 500ml</x:v>
      </x:c>
      <x:c r="C35" t="str">
        <x:v>Cleaning</x:v>
      </x:c>
      <x:c r="D35" t="str">
        <x:v>HygienePlus</x:v>
      </x:c>
      <x:c r="E35" t="str">
        <x:v>bottle</x:v>
      </x:c>
      <x:c r="F35" t="str">
        <x:v>8905000000345</x:v>
      </x:c>
      <x:c r="G35" t="str">
        <x:v>BLR-01</x:v>
      </x:c>
      <x:c r="H35" t="str">
        <x:v>CLN-A1-02</x:v>
      </x:c>
      <x:c r="I35" t="str">
        <x:v>FreshCare Traders</x:v>
      </x:c>
      <x:c r="J35" s="12" t="n">
        <x:v>85</x:v>
      </x:c>
      <x:c r="K35" s="12" t="n">
        <x:v>150</x:v>
      </x:c>
      <x:c r="L35" s="14" t="n">
        <x:v>184</x:v>
      </x:c>
      <x:c r="M35" s="14" t="n">
        <x:v>30</x:v>
      </x:c>
      <x:c r="N35" s="14" t="n">
        <x:v>164</x:v>
      </x:c>
      <x:c r="O35" s="14" t="n">
        <x:v>18</x:v>
      </x:c>
      <x:c r="P35" t="str">
        <x:v>B26-CLN-02</x:v>
      </x:c>
      <x:c r="Q35" t="str">
        <x:v>2026-10-12</x:v>
      </x:c>
      <x:c r="R35" t="str">
        <x:v>2026-07-17</x:v>
      </x:c>
      <x:c r="S35" s="1" t="b">
        <x:v>1</x:v>
      </x:c>
      <x:c r="T35" t="str">
        <x:v>OVERSTOCK</x:v>
      </x:c>
      <x:c r="U35" t="str">
        <x:v>Near expiry - review FEFO</x:v>
      </x:c>
    </x:row>
    <x:row r="36" ht="21" customHeight="1">
      <x:c r="A36" t="str">
        <x:v>CLN-0003</x:v>
      </x:c>
      <x:c r="B36" t="str">
        <x:v>Glass Cleaner 500ml</x:v>
      </x:c>
      <x:c r="C36" t="str">
        <x:v>Cleaning</x:v>
      </x:c>
      <x:c r="D36" t="str">
        <x:v>CleanWave</x:v>
      </x:c>
      <x:c r="E36" t="str">
        <x:v>bottle</x:v>
      </x:c>
      <x:c r="F36" t="str">
        <x:v>8905000000352</x:v>
      </x:c>
      <x:c r="G36" t="str">
        <x:v>MUM-01</x:v>
      </x:c>
      <x:c r="H36" t="str">
        <x:v>CLN-A1-03</x:v>
      </x:c>
      <x:c r="I36" t="str">
        <x:v>FreshCare Traders</x:v>
      </x:c>
      <x:c r="J36" s="12" t="n">
        <x:v>95</x:v>
      </x:c>
      <x:c r="K36" s="12" t="n">
        <x:v>165</x:v>
      </x:c>
      <x:c r="L36" s="14" t="n">
        <x:v>17</x:v>
      </x:c>
      <x:c r="M36" s="14" t="n">
        <x:v>10</x:v>
      </x:c>
      <x:c r="N36" s="14" t="n">
        <x:v>96</x:v>
      </x:c>
      <x:c r="O36" s="14" t="n">
        <x:v>18</x:v>
      </x:c>
      <x:c r="P36" t="str">
        <x:v>B26-CLN-03</x:v>
      </x:c>
      <x:c r="Q36" t="str">
        <x:v>2026-11-05</x:v>
      </x:c>
      <x:c r="R36" t="str">
        <x:v>2026-07-10</x:v>
      </x:c>
      <x:c r="S36" s="1" t="b">
        <x:v>1</x:v>
      </x:c>
      <x:c r="T36" t="str">
        <x:v>IN_STOCK</x:v>
      </x:c>
      <x:c r="U36" t="str"/>
    </x:row>
    <x:row r="37" ht="21" customHeight="1">
      <x:c r="A37" t="str">
        <x:v>CLN-0004</x:v>
      </x:c>
      <x:c r="B37" t="str">
        <x:v>Microfiber Cloth 5 Pack</x:v>
      </x:c>
      <x:c r="C37" t="str">
        <x:v>Cleaning</x:v>
      </x:c>
      <x:c r="D37" t="str">
        <x:v>CleanWave</x:v>
      </x:c>
      <x:c r="E37" t="str">
        <x:v>pack</x:v>
      </x:c>
      <x:c r="F37" t="str">
        <x:v>8905000000369</x:v>
      </x:c>
      <x:c r="G37" t="str">
        <x:v>DEL-01</x:v>
      </x:c>
      <x:c r="H37" t="str">
        <x:v>CLN-A1-04</x:v>
      </x:c>
      <x:c r="I37" t="str">
        <x:v>FreshCare Traders</x:v>
      </x:c>
      <x:c r="J37" s="12" t="n">
        <x:v>120</x:v>
      </x:c>
      <x:c r="K37" s="12" t="n">
        <x:v>220</x:v>
      </x:c>
      <x:c r="L37" s="14" t="n">
        <x:v>59</x:v>
      </x:c>
      <x:c r="M37" s="14" t="n">
        <x:v>17</x:v>
      </x:c>
      <x:c r="N37" s="14" t="n">
        <x:v>88</x:v>
      </x:c>
      <x:c r="O37" s="14" t="n">
        <x:v>18</x:v>
      </x:c>
      <x:c r="P37" t="str">
        <x:v>B26-CLN-04</x:v>
      </x:c>
      <x:c r="Q37" t="str">
        <x:v>2027-01-31</x:v>
      </x:c>
      <x:c r="R37" t="str">
        <x:v>2026-07-03</x:v>
      </x:c>
      <x:c r="S37" s="1" t="b">
        <x:v>1</x:v>
      </x:c>
      <x:c r="T37" t="str">
        <x:v>IN_STOCK</x:v>
      </x:c>
      <x:c r="U37" t="str"/>
    </x:row>
    <x:row r="38" ht="21" customHeight="1">
      <x:c r="A38" t="str">
        <x:v>CLN-0005</x:v>
      </x:c>
      <x:c r="B38" t="str">
        <x:v>Liquid Hand Wash 1L</x:v>
      </x:c>
      <x:c r="C38" t="str">
        <x:v>Cleaning</x:v>
      </x:c>
      <x:c r="D38" t="str">
        <x:v>HygienePlus</x:v>
      </x:c>
      <x:c r="E38" t="str">
        <x:v>bottle</x:v>
      </x:c>
      <x:c r="F38" t="str">
        <x:v>8905000000376</x:v>
      </x:c>
      <x:c r="G38" t="str">
        <x:v>BLR-01</x:v>
      </x:c>
      <x:c r="H38" t="str">
        <x:v>CLN-A2-01</x:v>
      </x:c>
      <x:c r="I38" t="str">
        <x:v>FreshCare Traders</x:v>
      </x:c>
      <x:c r="J38" s="12" t="n">
        <x:v>115</x:v>
      </x:c>
      <x:c r="K38" s="12" t="n">
        <x:v>205</x:v>
      </x:c>
      <x:c r="L38" s="14" t="n">
        <x:v>0</x:v>
      </x:c>
      <x:c r="M38" s="14" t="n">
        <x:v>24</x:v>
      </x:c>
      <x:c r="N38" s="14" t="n">
        <x:v>128</x:v>
      </x:c>
      <x:c r="O38" s="14" t="n">
        <x:v>18</x:v>
      </x:c>
      <x:c r="P38" t="str">
        <x:v>B26-CLN-05</x:v>
      </x:c>
      <x:c r="Q38" t="str">
        <x:v>2027-03-20</x:v>
      </x:c>
      <x:c r="R38" t="str">
        <x:v>2026-06-26</x:v>
      </x:c>
      <x:c r="S38" s="1" t="b">
        <x:v>1</x:v>
      </x:c>
      <x:c r="T38" t="str">
        <x:v>OUT_OF_STOCK</x:v>
      </x:c>
      <x:c r="U38" t="str">
        <x:v>Zero stock - replenishment check</x:v>
      </x:c>
    </x:row>
    <x:row r="39" ht="21" customHeight="1">
      <x:c r="A39" t="str">
        <x:v>CLN-0006</x:v>
      </x:c>
      <x:c r="B39" t="str">
        <x:v>Disinfectant Spray 300ml</x:v>
      </x:c>
      <x:c r="C39" t="str">
        <x:v>Cleaning</x:v>
      </x:c>
      <x:c r="D39" t="str">
        <x:v>HygienePlus</x:v>
      </x:c>
      <x:c r="E39" t="str">
        <x:v>bottle</x:v>
      </x:c>
      <x:c r="F39" t="str">
        <x:v>8905000000383</x:v>
      </x:c>
      <x:c r="G39" t="str">
        <x:v>MUM-01</x:v>
      </x:c>
      <x:c r="H39" t="str">
        <x:v>CLN-A2-02</x:v>
      </x:c>
      <x:c r="I39" t="str">
        <x:v>FreshCare Traders</x:v>
      </x:c>
      <x:c r="J39" s="12" t="n">
        <x:v>135</x:v>
      </x:c>
      <x:c r="K39" s="12" t="n">
        <x:v>235</x:v>
      </x:c>
      <x:c r="L39" s="14" t="n">
        <x:v>28</x:v>
      </x:c>
      <x:c r="M39" s="14" t="n">
        <x:v>31</x:v>
      </x:c>
      <x:c r="N39" s="14" t="n">
        <x:v>168</x:v>
      </x:c>
      <x:c r="O39" s="14" t="n">
        <x:v>18</x:v>
      </x:c>
      <x:c r="P39" t="str">
        <x:v>B26-CLN-06</x:v>
      </x:c>
      <x:c r="Q39" t="str">
        <x:v>2027-06-01</x:v>
      </x:c>
      <x:c r="R39" t="str">
        <x:v>2026-06-19</x:v>
      </x:c>
      <x:c r="S39" s="1" t="b">
        <x:v>1</x:v>
      </x:c>
      <x:c r="T39" t="str">
        <x:v>LOW_STOCK</x:v>
      </x:c>
      <x:c r="U39" t="str">
        <x:v>At or below reorder level</x:v>
      </x:c>
    </x:row>
    <x:row r="40" ht="21" customHeight="1">
      <x:c r="A40" t="str">
        <x:v>CLN-0007</x:v>
      </x:c>
      <x:c r="B40" t="str">
        <x:v>Garbage Bags Large 30 Pack</x:v>
      </x:c>
      <x:c r="C40" t="str">
        <x:v>Cleaning</x:v>
      </x:c>
      <x:c r="D40" t="str">
        <x:v>EcoCarry</x:v>
      </x:c>
      <x:c r="E40" t="str">
        <x:v>pack</x:v>
      </x:c>
      <x:c r="F40" t="str">
        <x:v>8905000000390</x:v>
      </x:c>
      <x:c r="G40" t="str">
        <x:v>DEL-01</x:v>
      </x:c>
      <x:c r="H40" t="str">
        <x:v>CLN-A2-03</x:v>
      </x:c>
      <x:c r="I40" t="str">
        <x:v>FreshCare Traders</x:v>
      </x:c>
      <x:c r="J40" s="12" t="n">
        <x:v>95</x:v>
      </x:c>
      <x:c r="K40" s="12" t="n">
        <x:v>175</x:v>
      </x:c>
      <x:c r="L40" s="14" t="n">
        <x:v>11</x:v>
      </x:c>
      <x:c r="M40" s="14" t="n">
        <x:v>11</x:v>
      </x:c>
      <x:c r="N40" s="14" t="n">
        <x:v>100</x:v>
      </x:c>
      <x:c r="O40" s="14" t="n">
        <x:v>18</x:v>
      </x:c>
      <x:c r="P40" t="str">
        <x:v>B26-CLN-07</x:v>
      </x:c>
      <x:c r="Q40" t="str">
        <x:v>2026-12-15</x:v>
      </x:c>
      <x:c r="R40" t="str">
        <x:v>2026-06-12</x:v>
      </x:c>
      <x:c r="S40" s="1" t="b">
        <x:v>1</x:v>
      </x:c>
      <x:c r="T40" t="str">
        <x:v>LOW_STOCK</x:v>
      </x:c>
      <x:c r="U40" t="str">
        <x:v>At or below reorder level</x:v>
      </x:c>
    </x:row>
    <x:row r="41" ht="21" customHeight="1">
      <x:c r="A41" t="str">
        <x:v>CLN-0008</x:v>
      </x:c>
      <x:c r="B41" t="str">
        <x:v>Dish Wash Liquid 500ml</x:v>
      </x:c>
      <x:c r="C41" t="str">
        <x:v>Cleaning</x:v>
      </x:c>
      <x:c r="D41" t="str">
        <x:v>CleanWave</x:v>
      </x:c>
      <x:c r="E41" t="str">
        <x:v>bottle</x:v>
      </x:c>
      <x:c r="F41" t="str">
        <x:v>8905000000406</x:v>
      </x:c>
      <x:c r="G41" t="str">
        <x:v>BLR-01</x:v>
      </x:c>
      <x:c r="H41" t="str">
        <x:v>CLN-A2-04</x:v>
      </x:c>
      <x:c r="I41" t="str">
        <x:v>FreshCare Traders</x:v>
      </x:c>
      <x:c r="J41" s="12" t="n">
        <x:v>65</x:v>
      </x:c>
      <x:c r="K41" s="12" t="n">
        <x:v>125</x:v>
      </x:c>
      <x:c r="L41" s="14" t="n">
        <x:v>19</x:v>
      </x:c>
      <x:c r="M41" s="14" t="n">
        <x:v>18</x:v>
      </x:c>
      <x:c r="N41" s="14" t="n">
        <x:v>92</x:v>
      </x:c>
      <x:c r="O41" s="14" t="n">
        <x:v>18</x:v>
      </x:c>
      <x:c r="P41" t="str">
        <x:v>B26-CLN-08</x:v>
      </x:c>
      <x:c r="Q41" t="str">
        <x:v>2027-08-30</x:v>
      </x:c>
      <x:c r="R41" t="str">
        <x:v>2026-06-05</x:v>
      </x:c>
      <x:c r="S41" s="1" t="b">
        <x:v>1</x:v>
      </x:c>
      <x:c r="T41" t="str">
        <x:v>IN_STOCK</x:v>
      </x:c>
      <x:c r="U41" t="str"/>
    </x:row>
    <x:row r="42" ht="21" customHeight="1">
      <x:c r="A42" t="str">
        <x:v>PAN-0001</x:v>
      </x:c>
      <x:c r="B42" t="str">
        <x:v>Instant Coffee 200g</x:v>
      </x:c>
      <x:c r="C42" t="str">
        <x:v>Pantry</x:v>
      </x:c>
      <x:c r="D42" t="str">
        <x:v>BreakTime</x:v>
      </x:c>
      <x:c r="E42" t="str">
        <x:v>jar</x:v>
      </x:c>
      <x:c r="F42" t="str">
        <x:v>8905000000413</x:v>
      </x:c>
      <x:c r="G42" t="str">
        <x:v>MUM-01</x:v>
      </x:c>
      <x:c r="H42" t="str">
        <x:v>PAN-A1-01</x:v>
      </x:c>
      <x:c r="I42" t="str">
        <x:v>Daily Basket Wholesale</x:v>
      </x:c>
      <x:c r="J42" s="12" t="n">
        <x:v>235</x:v>
      </x:c>
      <x:c r="K42" s="12" t="n">
        <x:v>385</x:v>
      </x:c>
      <x:c r="L42" s="14" t="n">
        <x:v>52</x:v>
      </x:c>
      <x:c r="M42" s="14" t="n">
        <x:v>25</x:v>
      </x:c>
      <x:c r="N42" s="14" t="n">
        <x:v>132</x:v>
      </x:c>
      <x:c r="O42" s="14" t="n">
        <x:v>5</x:v>
      </x:c>
      <x:c r="P42" t="str">
        <x:v>B26-PAN-01</x:v>
      </x:c>
      <x:c r="Q42" t="str">
        <x:v>2026-09-20</x:v>
      </x:c>
      <x:c r="R42" t="str">
        <x:v>2026-05-29</x:v>
      </x:c>
      <x:c r="S42" s="1" t="b">
        <x:v>1</x:v>
      </x:c>
      <x:c r="T42" t="str">
        <x:v>IN_STOCK</x:v>
      </x:c>
      <x:c r="U42" t="str">
        <x:v>Expired batch - quarantine; do not sell</x:v>
      </x:c>
    </x:row>
    <x:row r="43" ht="21" customHeight="1">
      <x:c r="A43" t="str">
        <x:v>PAN-0002</x:v>
      </x:c>
      <x:c r="B43" t="str">
        <x:v>Tea Bags 100 Count</x:v>
      </x:c>
      <x:c r="C43" t="str">
        <x:v>Pantry</x:v>
      </x:c>
      <x:c r="D43" t="str">
        <x:v>TeaGarden</x:v>
      </x:c>
      <x:c r="E43" t="str">
        <x:v>box</x:v>
      </x:c>
      <x:c r="F43" t="str">
        <x:v>8905000000420</x:v>
      </x:c>
      <x:c r="G43" t="str">
        <x:v>DEL-01</x:v>
      </x:c>
      <x:c r="H43" t="str">
        <x:v>PAN-A1-02</x:v>
      </x:c>
      <x:c r="I43" t="str">
        <x:v>Daily Basket Wholesale</x:v>
      </x:c>
      <x:c r="J43" s="12" t="n">
        <x:v>170</x:v>
      </x:c>
      <x:c r="K43" s="12" t="n">
        <x:v>299</x:v>
      </x:c>
      <x:c r="L43" s="14" t="n">
        <x:v>172</x:v>
      </x:c>
      <x:c r="M43" s="14" t="n">
        <x:v>32</x:v>
      </x:c>
      <x:c r="N43" s="14" t="n">
        <x:v>172</x:v>
      </x:c>
      <x:c r="O43" s="14" t="n">
        <x:v>5</x:v>
      </x:c>
      <x:c r="P43" t="str">
        <x:v>B26-PAN-02</x:v>
      </x:c>
      <x:c r="Q43" t="str">
        <x:v>2026-10-12</x:v>
      </x:c>
      <x:c r="R43" t="str">
        <x:v>2026-05-22</x:v>
      </x:c>
      <x:c r="S43" s="1" t="b">
        <x:v>1</x:v>
      </x:c>
      <x:c r="T43" t="str">
        <x:v>IN_STOCK</x:v>
      </x:c>
      <x:c r="U43" t="str">
        <x:v>Near expiry - review FEFO</x:v>
      </x:c>
    </x:row>
    <x:row r="44" ht="21" customHeight="1">
      <x:c r="A44" t="str">
        <x:v>PAN-0003</x:v>
      </x:c>
      <x:c r="B44" t="str">
        <x:v>Sugar 1kg</x:v>
      </x:c>
      <x:c r="C44" t="str">
        <x:v>Pantry</x:v>
      </x:c>
      <x:c r="D44" t="str">
        <x:v>DailyFresh</x:v>
      </x:c>
      <x:c r="E44" t="str">
        <x:v>bag</x:v>
      </x:c>
      <x:c r="F44" t="str">
        <x:v>8905000000437</x:v>
      </x:c>
      <x:c r="G44" t="str">
        <x:v>BLR-01</x:v>
      </x:c>
      <x:c r="H44" t="str">
        <x:v>PAN-A1-03</x:v>
      </x:c>
      <x:c r="I44" t="str">
        <x:v>Daily Basket Wholesale</x:v>
      </x:c>
      <x:c r="J44" s="12" t="n">
        <x:v>42</x:v>
      </x:c>
      <x:c r="K44" s="12" t="n">
        <x:v>65</x:v>
      </x:c>
      <x:c r="L44" s="14" t="n">
        <x:v>124</x:v>
      </x:c>
      <x:c r="M44" s="14" t="n">
        <x:v>12</x:v>
      </x:c>
      <x:c r="N44" s="14" t="n">
        <x:v>104</x:v>
      </x:c>
      <x:c r="O44" s="14" t="n">
        <x:v>5</x:v>
      </x:c>
      <x:c r="P44" t="str">
        <x:v>B26-PAN-03</x:v>
      </x:c>
      <x:c r="Q44" t="str">
        <x:v>2026-11-05</x:v>
      </x:c>
      <x:c r="R44" t="str">
        <x:v>2026-05-15</x:v>
      </x:c>
      <x:c r="S44" s="1" t="b">
        <x:v>1</x:v>
      </x:c>
      <x:c r="T44" t="str">
        <x:v>OVERSTOCK</x:v>
      </x:c>
      <x:c r="U44" t="str">
        <x:v>Over maximum stock threshold</x:v>
      </x:c>
    </x:row>
    <x:row r="45" ht="21" customHeight="1">
      <x:c r="A45" t="str">
        <x:v>PAN-0004</x:v>
      </x:c>
      <x:c r="B45" t="str">
        <x:v>Green Tea 25 Bags</x:v>
      </x:c>
      <x:c r="C45" t="str">
        <x:v>Pantry</x:v>
      </x:c>
      <x:c r="D45" t="str">
        <x:v>TeaGarden</x:v>
      </x:c>
      <x:c r="E45" t="str">
        <x:v>box</x:v>
      </x:c>
      <x:c r="F45" t="str">
        <x:v>8905000000444</x:v>
      </x:c>
      <x:c r="G45" t="str">
        <x:v>MUM-01</x:v>
      </x:c>
      <x:c r="H45" t="str">
        <x:v>PAN-A1-04</x:v>
      </x:c>
      <x:c r="I45" t="str">
        <x:v>Daily Basket Wholesale</x:v>
      </x:c>
      <x:c r="J45" s="12" t="n">
        <x:v>105</x:v>
      </x:c>
      <x:c r="K45" s="12" t="n">
        <x:v>195</x:v>
      </x:c>
      <x:c r="L45" s="14" t="n">
        <x:v>26</x:v>
      </x:c>
      <x:c r="M45" s="14" t="n">
        <x:v>19</x:v>
      </x:c>
      <x:c r="N45" s="14" t="n">
        <x:v>96</x:v>
      </x:c>
      <x:c r="O45" s="14" t="n">
        <x:v>5</x:v>
      </x:c>
      <x:c r="P45" t="str">
        <x:v>B26-PAN-04</x:v>
      </x:c>
      <x:c r="Q45" t="str">
        <x:v>2027-01-31</x:v>
      </x:c>
      <x:c r="R45" t="str">
        <x:v>2026-05-08</x:v>
      </x:c>
      <x:c r="S45" s="1" t="b">
        <x:v>1</x:v>
      </x:c>
      <x:c r="T45" t="str">
        <x:v>IN_STOCK</x:v>
      </x:c>
      <x:c r="U45" t="str"/>
    </x:row>
    <x:row r="46" ht="21" customHeight="1">
      <x:c r="A46" t="str">
        <x:v>PAN-0005</x:v>
      </x:c>
      <x:c r="B46" t="str">
        <x:v>Biscuits Assorted 500g</x:v>
      </x:c>
      <x:c r="C46" t="str">
        <x:v>Pantry</x:v>
      </x:c>
      <x:c r="D46" t="str">
        <x:v>SnackBox</x:v>
      </x:c>
      <x:c r="E46" t="str">
        <x:v>pack</x:v>
      </x:c>
      <x:c r="F46" t="str">
        <x:v>8905000000451</x:v>
      </x:c>
      <x:c r="G46" t="str">
        <x:v>DEL-01</x:v>
      </x:c>
      <x:c r="H46" t="str">
        <x:v>PAN-A2-01</x:v>
      </x:c>
      <x:c r="I46" t="str">
        <x:v>Daily Basket Wholesale</x:v>
      </x:c>
      <x:c r="J46" s="12" t="n">
        <x:v>90</x:v>
      </x:c>
      <x:c r="K46" s="12" t="n">
        <x:v>145</x:v>
      </x:c>
      <x:c r="L46" s="14" t="n">
        <x:v>68</x:v>
      </x:c>
      <x:c r="M46" s="14" t="n">
        <x:v>26</x:v>
      </x:c>
      <x:c r="N46" s="14" t="n">
        <x:v>136</x:v>
      </x:c>
      <x:c r="O46" s="14" t="n">
        <x:v>5</x:v>
      </x:c>
      <x:c r="P46" t="str">
        <x:v>B26-PAN-05</x:v>
      </x:c>
      <x:c r="Q46" t="str">
        <x:v>2027-03-20</x:v>
      </x:c>
      <x:c r="R46" t="str">
        <x:v>2026-05-01</x:v>
      </x:c>
      <x:c r="S46" s="1" t="b">
        <x:v>1</x:v>
      </x:c>
      <x:c r="T46" t="str">
        <x:v>IN_STOCK</x:v>
      </x:c>
      <x:c r="U46" t="str"/>
    </x:row>
    <x:row r="47" ht="21" customHeight="1">
      <x:c r="A47" t="str">
        <x:v>PAN-0006</x:v>
      </x:c>
      <x:c r="B47" t="str">
        <x:v>Paper Cups 100 Pack</x:v>
      </x:c>
      <x:c r="C47" t="str">
        <x:v>Pantry</x:v>
      </x:c>
      <x:c r="D47" t="str">
        <x:v>EcoServe</x:v>
      </x:c>
      <x:c r="E47" t="str">
        <x:v>pack</x:v>
      </x:c>
      <x:c r="F47" t="str">
        <x:v>8905000000468</x:v>
      </x:c>
      <x:c r="G47" t="str">
        <x:v>BLR-01</x:v>
      </x:c>
      <x:c r="H47" t="str">
        <x:v>PAN-A2-02</x:v>
      </x:c>
      <x:c r="I47" t="str">
        <x:v>Daily Basket Wholesale</x:v>
      </x:c>
      <x:c r="J47" s="12" t="n">
        <x:v>70</x:v>
      </x:c>
      <x:c r="K47" s="12" t="n">
        <x:v>135</x:v>
      </x:c>
      <x:c r="L47" s="14" t="n">
        <x:v>0</x:v>
      </x:c>
      <x:c r="M47" s="14" t="n">
        <x:v>33</x:v>
      </x:c>
      <x:c r="N47" s="14" t="n">
        <x:v>176</x:v>
      </x:c>
      <x:c r="O47" s="14" t="n">
        <x:v>5</x:v>
      </x:c>
      <x:c r="P47" t="str">
        <x:v>B26-PAN-06</x:v>
      </x:c>
      <x:c r="Q47" t="str">
        <x:v>2027-06-01</x:v>
      </x:c>
      <x:c r="R47" t="str">
        <x:v>2026-04-24</x:v>
      </x:c>
      <x:c r="S47" s="1" t="b">
        <x:v>1</x:v>
      </x:c>
      <x:c r="T47" t="str">
        <x:v>OUT_OF_STOCK</x:v>
      </x:c>
      <x:c r="U47" t="str">
        <x:v>Zero stock - replenishment check</x:v>
      </x:c>
    </x:row>
    <x:row r="48" ht="21" customHeight="1">
      <x:c r="A48" t="str">
        <x:v>PAN-0007</x:v>
      </x:c>
      <x:c r="B48" t="str">
        <x:v>Mineral Water 1L 12 Pack</x:v>
      </x:c>
      <x:c r="C48" t="str">
        <x:v>Pantry</x:v>
      </x:c>
      <x:c r="D48" t="str">
        <x:v>DailyFresh</x:v>
      </x:c>
      <x:c r="E48" t="str">
        <x:v>case</x:v>
      </x:c>
      <x:c r="F48" t="str">
        <x:v>8905000000475</x:v>
      </x:c>
      <x:c r="G48" t="str">
        <x:v>MUM-01</x:v>
      </x:c>
      <x:c r="H48" t="str">
        <x:v>PAN-A2-03</x:v>
      </x:c>
      <x:c r="I48" t="str">
        <x:v>Daily Basket Wholesale</x:v>
      </x:c>
      <x:c r="J48" s="12" t="n">
        <x:v>180</x:v>
      </x:c>
      <x:c r="K48" s="12" t="n">
        <x:v>280</x:v>
      </x:c>
      <x:c r="L48" s="14" t="n">
        <x:v>10</x:v>
      </x:c>
      <x:c r="M48" s="14" t="n">
        <x:v>13</x:v>
      </x:c>
      <x:c r="N48" s="14" t="n">
        <x:v>108</x:v>
      </x:c>
      <x:c r="O48" s="14" t="n">
        <x:v>5</x:v>
      </x:c>
      <x:c r="P48" t="str">
        <x:v>B26-PAN-07</x:v>
      </x:c>
      <x:c r="Q48" t="str">
        <x:v>2026-12-15</x:v>
      </x:c>
      <x:c r="R48" t="str">
        <x:v>2026-04-17</x:v>
      </x:c>
      <x:c r="S48" s="1" t="b">
        <x:v>1</x:v>
      </x:c>
      <x:c r="T48" t="str">
        <x:v>LOW_STOCK</x:v>
      </x:c>
      <x:c r="U48" t="str">
        <x:v>At or below reorder level</x:v>
      </x:c>
    </x:row>
    <x:row r="49" ht="21" customHeight="1">
      <x:c r="A49" t="str">
        <x:v>PAN-0008</x:v>
      </x:c>
      <x:c r="B49" t="str">
        <x:v>Stirrer Sticks 200 Pack</x:v>
      </x:c>
      <x:c r="C49" t="str">
        <x:v>Pantry</x:v>
      </x:c>
      <x:c r="D49" t="str">
        <x:v>EcoServe</x:v>
      </x:c>
      <x:c r="E49" t="str">
        <x:v>pack</x:v>
      </x:c>
      <x:c r="F49" t="str">
        <x:v>8905000000482</x:v>
      </x:c>
      <x:c r="G49" t="str">
        <x:v>DEL-01</x:v>
      </x:c>
      <x:c r="H49" t="str">
        <x:v>PAN-A2-04</x:v>
      </x:c>
      <x:c r="I49" t="str">
        <x:v>Daily Basket Wholesale</x:v>
      </x:c>
      <x:c r="J49" s="12" t="n">
        <x:v>75</x:v>
      </x:c>
      <x:c r="K49" s="12" t="n">
        <x:v>140</x:v>
      </x:c>
      <x:c r="L49" s="14" t="n">
        <x:v>20</x:v>
      </x:c>
      <x:c r="M49" s="14" t="n">
        <x:v>20</x:v>
      </x:c>
      <x:c r="N49" s="14" t="n">
        <x:v>100</x:v>
      </x:c>
      <x:c r="O49" s="14" t="n">
        <x:v>5</x:v>
      </x:c>
      <x:c r="P49" t="str">
        <x:v>B26-PAN-08</x:v>
      </x:c>
      <x:c r="Q49" t="str">
        <x:v>2027-08-30</x:v>
      </x:c>
      <x:c r="R49" t="str">
        <x:v>2026-09-22</x:v>
      </x:c>
      <x:c r="S49" s="1" t="b">
        <x:v>1</x:v>
      </x:c>
      <x:c r="T49" t="str">
        <x:v>LOW_STOCK</x:v>
      </x:c>
      <x:c r="U49" t="str">
        <x:v>At or below reorder level</x:v>
      </x:c>
    </x:row>
    <x:row r="50" ht="21" customHeight="1">
      <x:c r="A50" t="str">
        <x:v>PKG-0001</x:v>
      </x:c>
      <x:c r="B50" t="str">
        <x:v>Corrugated Box Small</x:v>
      </x:c>
      <x:c r="C50" t="str">
        <x:v>Packaging</x:v>
      </x:c>
      <x:c r="D50" t="str">
        <x:v>PackRight</x:v>
      </x:c>
      <x:c r="E50" t="str">
        <x:v>piece</x:v>
      </x:c>
      <x:c r="F50" t="str">
        <x:v>8905000000499</x:v>
      </x:c>
      <x:c r="G50" t="str">
        <x:v>BLR-01</x:v>
      </x:c>
      <x:c r="H50" t="str">
        <x:v>PKG-A1-01</x:v>
      </x:c>
      <x:c r="I50" t="str">
        <x:v>BoxWorks India</x:v>
      </x:c>
      <x:c r="J50" s="12" t="n">
        <x:v>25</x:v>
      </x:c>
      <x:c r="K50" s="12" t="n">
        <x:v>49</x:v>
      </x:c>
      <x:c r="L50" s="14" t="n">
        <x:v>28</x:v>
      </x:c>
      <x:c r="M50" s="14" t="n">
        <x:v>27</x:v>
      </x:c>
      <x:c r="N50" s="14" t="n">
        <x:v>140</x:v>
      </x:c>
      <x:c r="O50" s="14" t="n">
        <x:v>12</x:v>
      </x:c>
      <x:c r="P50" t="str">
        <x:v>B26-PKG-01</x:v>
      </x:c>
      <x:c r="Q50" t="str"/>
      <x:c r="R50" t="str">
        <x:v>2026-09-15</x:v>
      </x:c>
      <x:c r="S50" s="1" t="b">
        <x:v>0</x:v>
      </x:c>
      <x:c r="T50" t="str">
        <x:v>DISCONTINUED</x:v>
      </x:c>
      <x:c r="U50" t="str">
        <x:v>Discontinued SKU - disable new purchases</x:v>
      </x:c>
    </x:row>
    <x:row r="51" ht="21" customHeight="1">
      <x:c r="A51" t="str">
        <x:v>PKG-0002</x:v>
      </x:c>
      <x:c r="B51" t="str">
        <x:v>Corrugated Box Medium</x:v>
      </x:c>
      <x:c r="C51" t="str">
        <x:v>Packaging</x:v>
      </x:c>
      <x:c r="D51" t="str">
        <x:v>PackRight</x:v>
      </x:c>
      <x:c r="E51" t="str">
        <x:v>piece</x:v>
      </x:c>
      <x:c r="F51" t="str">
        <x:v>8905000000505</x:v>
      </x:c>
      <x:c r="G51" t="str">
        <x:v>MUM-01</x:v>
      </x:c>
      <x:c r="H51" t="str">
        <x:v>PKG-A1-02</x:v>
      </x:c>
      <x:c r="I51" t="str">
        <x:v>BoxWorks India</x:v>
      </x:c>
      <x:c r="J51" s="12" t="n">
        <x:v>42</x:v>
      </x:c>
      <x:c r="K51" s="12" t="n">
        <x:v>85</x:v>
      </x:c>
      <x:c r="L51" s="14" t="n">
        <x:v>61</x:v>
      </x:c>
      <x:c r="M51" s="14" t="n">
        <x:v>34</x:v>
      </x:c>
      <x:c r="N51" s="14" t="n">
        <x:v>180</x:v>
      </x:c>
      <x:c r="O51" s="14" t="n">
        <x:v>12</x:v>
      </x:c>
      <x:c r="P51" t="str">
        <x:v>B26-PKG-02</x:v>
      </x:c>
      <x:c r="Q51" t="str"/>
      <x:c r="R51" t="str">
        <x:v>2026-09-08</x:v>
      </x:c>
      <x:c r="S51" s="1" t="b">
        <x:v>1</x:v>
      </x:c>
      <x:c r="T51" t="str">
        <x:v>IN_STOCK</x:v>
      </x:c>
      <x:c r="U51" t="str"/>
    </x:row>
    <x:row r="52" ht="21" customHeight="1">
      <x:c r="A52" t="str">
        <x:v>PKG-0003</x:v>
      </x:c>
      <x:c r="B52" t="str">
        <x:v>Bubble Wrap 10m Roll</x:v>
      </x:c>
      <x:c r="C52" t="str">
        <x:v>Packaging</x:v>
      </x:c>
      <x:c r="D52" t="str">
        <x:v>SafePack</x:v>
      </x:c>
      <x:c r="E52" t="str">
        <x:v>roll</x:v>
      </x:c>
      <x:c r="F52" t="str">
        <x:v>8905000000512</x:v>
      </x:c>
      <x:c r="G52" t="str">
        <x:v>DEL-01</x:v>
      </x:c>
      <x:c r="H52" t="str">
        <x:v>PKG-A1-03</x:v>
      </x:c>
      <x:c r="I52" t="str">
        <x:v>BoxWorks India</x:v>
      </x:c>
      <x:c r="J52" s="12" t="n">
        <x:v>150</x:v>
      </x:c>
      <x:c r="K52" s="12" t="n">
        <x:v>275</x:v>
      </x:c>
      <x:c r="L52" s="14" t="n">
        <x:v>112</x:v>
      </x:c>
      <x:c r="M52" s="14" t="n">
        <x:v>14</x:v>
      </x:c>
      <x:c r="N52" s="14" t="n">
        <x:v>112</x:v>
      </x:c>
      <x:c r="O52" s="14" t="n">
        <x:v>12</x:v>
      </x:c>
      <x:c r="P52" t="str">
        <x:v>B26-PKG-03</x:v>
      </x:c>
      <x:c r="Q52" t="str"/>
      <x:c r="R52" t="str">
        <x:v>2026-09-01</x:v>
      </x:c>
      <x:c r="S52" s="1" t="b">
        <x:v>1</x:v>
      </x:c>
      <x:c r="T52" t="str">
        <x:v>IN_STOCK</x:v>
      </x:c>
      <x:c r="U52" t="str"/>
    </x:row>
    <x:row r="53" ht="21" customHeight="1">
      <x:c r="A53" t="str">
        <x:v>PKG-0004</x:v>
      </x:c>
      <x:c r="B53" t="str">
        <x:v>Packing Tape 48mm</x:v>
      </x:c>
      <x:c r="C53" t="str">
        <x:v>Packaging</x:v>
      </x:c>
      <x:c r="D53" t="str">
        <x:v>PackRight</x:v>
      </x:c>
      <x:c r="E53" t="str">
        <x:v>roll</x:v>
      </x:c>
      <x:c r="F53" t="str">
        <x:v>8905000000529</x:v>
      </x:c>
      <x:c r="G53" t="str">
        <x:v>BLR-01</x:v>
      </x:c>
      <x:c r="H53" t="str">
        <x:v>PKG-A1-04</x:v>
      </x:c>
      <x:c r="I53" t="str">
        <x:v>BoxWorks India</x:v>
      </x:c>
      <x:c r="J53" s="12" t="n">
        <x:v>35</x:v>
      </x:c>
      <x:c r="K53" s="12" t="n">
        <x:v>75</x:v>
      </x:c>
      <x:c r="L53" s="14" t="n">
        <x:v>124</x:v>
      </x:c>
      <x:c r="M53" s="14" t="n">
        <x:v>21</x:v>
      </x:c>
      <x:c r="N53" s="14" t="n">
        <x:v>104</x:v>
      </x:c>
      <x:c r="O53" s="14" t="n">
        <x:v>12</x:v>
      </x:c>
      <x:c r="P53" t="str">
        <x:v>B26-PKG-04</x:v>
      </x:c>
      <x:c r="Q53" t="str"/>
      <x:c r="R53" t="str">
        <x:v>2026-08-25</x:v>
      </x:c>
      <x:c r="S53" s="1" t="b">
        <x:v>1</x:v>
      </x:c>
      <x:c r="T53" t="str">
        <x:v>OVERSTOCK</x:v>
      </x:c>
      <x:c r="U53" t="str">
        <x:v>Over maximum stock threshold</x:v>
      </x:c>
    </x:row>
    <x:row r="54" ht="21" customHeight="1">
      <x:c r="A54" t="str">
        <x:v>PKG-0005</x:v>
      </x:c>
      <x:c r="B54" t="str">
        <x:v>Stretch Film 300m</x:v>
      </x:c>
      <x:c r="C54" t="str">
        <x:v>Packaging</x:v>
      </x:c>
      <x:c r="D54" t="str">
        <x:v>SafePack</x:v>
      </x:c>
      <x:c r="E54" t="str">
        <x:v>roll</x:v>
      </x:c>
      <x:c r="F54" t="str">
        <x:v>8905000000536</x:v>
      </x:c>
      <x:c r="G54" t="str">
        <x:v>MUM-01</x:v>
      </x:c>
      <x:c r="H54" t="str">
        <x:v>PKG-A2-01</x:v>
      </x:c>
      <x:c r="I54" t="str">
        <x:v>BoxWorks India</x:v>
      </x:c>
      <x:c r="J54" s="12" t="n">
        <x:v>390</x:v>
      </x:c>
      <x:c r="K54" s="12" t="n">
        <x:v>690</x:v>
      </x:c>
      <x:c r="L54" s="14" t="n">
        <x:v>35</x:v>
      </x:c>
      <x:c r="M54" s="14" t="n">
        <x:v>28</x:v>
      </x:c>
      <x:c r="N54" s="14" t="n">
        <x:v>144</x:v>
      </x:c>
      <x:c r="O54" s="14" t="n">
        <x:v>12</x:v>
      </x:c>
      <x:c r="P54" t="str">
        <x:v>B26-PKG-05</x:v>
      </x:c>
      <x:c r="Q54" t="str"/>
      <x:c r="R54" t="str">
        <x:v>2026-08-18</x:v>
      </x:c>
      <x:c r="S54" s="1" t="b">
        <x:v>1</x:v>
      </x:c>
      <x:c r="T54" t="str">
        <x:v>IN_STOCK</x:v>
      </x:c>
      <x:c r="U54" t="str"/>
    </x:row>
    <x:row r="55" ht="21" customHeight="1">
      <x:c r="A55" t="str">
        <x:v>PKG-0006</x:v>
      </x:c>
      <x:c r="B55" t="str">
        <x:v>Courier Poly Mailer 50 Pack</x:v>
      </x:c>
      <x:c r="C55" t="str">
        <x:v>Packaging</x:v>
      </x:c>
      <x:c r="D55" t="str">
        <x:v>EcoCarry</x:v>
      </x:c>
      <x:c r="E55" t="str">
        <x:v>pack</x:v>
      </x:c>
      <x:c r="F55" t="str">
        <x:v>8905000000543</x:v>
      </x:c>
      <x:c r="G55" t="str">
        <x:v>DEL-01</x:v>
      </x:c>
      <x:c r="H55" t="str">
        <x:v>PKG-A2-02</x:v>
      </x:c>
      <x:c r="I55" t="str">
        <x:v>BoxWorks India</x:v>
      </x:c>
      <x:c r="J55" s="12" t="n">
        <x:v>150</x:v>
      </x:c>
      <x:c r="K55" s="12" t="n">
        <x:v>270</x:v>
      </x:c>
      <x:c r="L55" s="14" t="n">
        <x:v>50</x:v>
      </x:c>
      <x:c r="M55" s="14" t="n">
        <x:v>8</x:v>
      </x:c>
      <x:c r="N55" s="14" t="n">
        <x:v>76</x:v>
      </x:c>
      <x:c r="O55" s="14" t="n">
        <x:v>12</x:v>
      </x:c>
      <x:c r="P55" t="str">
        <x:v>B26-PKG-06</x:v>
      </x:c>
      <x:c r="Q55" t="str"/>
      <x:c r="R55" t="str">
        <x:v>2026-08-11</x:v>
      </x:c>
      <x:c r="S55" s="1" t="b">
        <x:v>1</x:v>
      </x:c>
      <x:c r="T55" t="str">
        <x:v>IN_STOCK</x:v>
      </x:c>
      <x:c r="U55" t="str"/>
    </x:row>
    <x:row r="56" ht="21" customHeight="1">
      <x:c r="A56" t="str">
        <x:v>PKG-0007</x:v>
      </x:c>
      <x:c r="B56" t="str">
        <x:v>Fragile Label 100 Pack</x:v>
      </x:c>
      <x:c r="C56" t="str">
        <x:v>Packaging</x:v>
      </x:c>
      <x:c r="D56" t="str">
        <x:v>SafePack</x:v>
      </x:c>
      <x:c r="E56" t="str">
        <x:v>pack</x:v>
      </x:c>
      <x:c r="F56" t="str">
        <x:v>8905000000550</x:v>
      </x:c>
      <x:c r="G56" t="str">
        <x:v>BLR-01</x:v>
      </x:c>
      <x:c r="H56" t="str">
        <x:v>PKG-A2-03</x:v>
      </x:c>
      <x:c r="I56" t="str">
        <x:v>BoxWorks India</x:v>
      </x:c>
      <x:c r="J56" s="12" t="n">
        <x:v>75</x:v>
      </x:c>
      <x:c r="K56" s="12" t="n">
        <x:v>130</x:v>
      </x:c>
      <x:c r="L56" s="14" t="n">
        <x:v>0</x:v>
      </x:c>
      <x:c r="M56" s="14" t="n">
        <x:v>15</x:v>
      </x:c>
      <x:c r="N56" s="14" t="n">
        <x:v>116</x:v>
      </x:c>
      <x:c r="O56" s="14" t="n">
        <x:v>12</x:v>
      </x:c>
      <x:c r="P56" t="str">
        <x:v>B26-PKG-07</x:v>
      </x:c>
      <x:c r="Q56" t="str"/>
      <x:c r="R56" t="str">
        <x:v>2026-08-04</x:v>
      </x:c>
      <x:c r="S56" s="1" t="b">
        <x:v>1</x:v>
      </x:c>
      <x:c r="T56" t="str">
        <x:v>OUT_OF_STOCK</x:v>
      </x:c>
      <x:c r="U56" t="str">
        <x:v>Zero stock - replenishment check</x:v>
      </x:c>
    </x:row>
    <x:row r="57" ht="21" customHeight="1">
      <x:c r="A57" t="str">
        <x:v>PKG-0008</x:v>
      </x:c>
      <x:c r="B57" t="str">
        <x:v>Kraft Paper 20m Roll</x:v>
      </x:c>
      <x:c r="C57" t="str">
        <x:v>Packaging</x:v>
      </x:c>
      <x:c r="D57" t="str">
        <x:v>EcoCarry</x:v>
      </x:c>
      <x:c r="E57" t="str">
        <x:v>roll</x:v>
      </x:c>
      <x:c r="F57" t="str">
        <x:v>8905000000567</x:v>
      </x:c>
      <x:c r="G57" t="str">
        <x:v>MUM-01</x:v>
      </x:c>
      <x:c r="H57" t="str">
        <x:v>PKG-A2-04</x:v>
      </x:c>
      <x:c r="I57" t="str">
        <x:v>BoxWorks India</x:v>
      </x:c>
      <x:c r="J57" s="12" t="n">
        <x:v>140</x:v>
      </x:c>
      <x:c r="K57" s="12" t="n">
        <x:v>250</x:v>
      </x:c>
      <x:c r="L57" s="14" t="n">
        <x:v>19</x:v>
      </x:c>
      <x:c r="M57" s="14" t="n">
        <x:v>22</x:v>
      </x:c>
      <x:c r="N57" s="14" t="n">
        <x:v>108</x:v>
      </x:c>
      <x:c r="O57" s="14" t="n">
        <x:v>12</x:v>
      </x:c>
      <x:c r="P57" t="str">
        <x:v>B26-PKG-08</x:v>
      </x:c>
      <x:c r="Q57" t="str"/>
      <x:c r="R57" t="str">
        <x:v>2026-07-28</x:v>
      </x:c>
      <x:c r="S57" s="1" t="b">
        <x:v>1</x:v>
      </x:c>
      <x:c r="T57" t="str">
        <x:v>LOW_STOCK</x:v>
      </x:c>
      <x:c r="U57" t="str">
        <x:v>At or below reorder level</x:v>
      </x:c>
    </x:row>
    <x:row r="58" ht="21" customHeight="1">
      <x:c r="A58" t="str">
        <x:v>SFT-0001</x:v>
      </x:c>
      <x:c r="B58" t="str">
        <x:v>First Aid Kit Medium</x:v>
      </x:c>
      <x:c r="C58" t="str">
        <x:v>Safety</x:v>
      </x:c>
      <x:c r="D58" t="str">
        <x:v>SafeGuard</x:v>
      </x:c>
      <x:c r="E58" t="str">
        <x:v>kit</x:v>
      </x:c>
      <x:c r="F58" t="str">
        <x:v>8905000000574</x:v>
      </x:c>
      <x:c r="G58" t="str">
        <x:v>DEL-01</x:v>
      </x:c>
      <x:c r="H58" t="str">
        <x:v>SFT-A1-01</x:v>
      </x:c>
      <x:c r="I58" t="str">
        <x:v>Shield Industrial Supply</x:v>
      </x:c>
      <x:c r="J58" s="12" t="n">
        <x:v>950</x:v>
      </x:c>
      <x:c r="K58" s="12" t="n">
        <x:v>1499</x:v>
      </x:c>
      <x:c r="L58" s="14" t="n">
        <x:v>29</x:v>
      </x:c>
      <x:c r="M58" s="14" t="n">
        <x:v>29</x:v>
      </x:c>
      <x:c r="N58" s="14" t="n">
        <x:v>148</x:v>
      </x:c>
      <x:c r="O58" s="14" t="n">
        <x:v>18</x:v>
      </x:c>
      <x:c r="P58" t="str">
        <x:v>B26-SFT-01</x:v>
      </x:c>
      <x:c r="Q58" t="str"/>
      <x:c r="R58" t="str">
        <x:v>2026-07-21</x:v>
      </x:c>
      <x:c r="S58" s="1" t="b">
        <x:v>1</x:v>
      </x:c>
      <x:c r="T58" t="str">
        <x:v>LOW_STOCK</x:v>
      </x:c>
      <x:c r="U58" t="str">
        <x:v>At or below reorder level</x:v>
      </x:c>
    </x:row>
    <x:row r="59" ht="21" customHeight="1">
      <x:c r="A59" t="str">
        <x:v>SFT-0002</x:v>
      </x:c>
      <x:c r="B59" t="str">
        <x:v>Safety Gloves Nitrile 100</x:v>
      </x:c>
      <x:c r="C59" t="str">
        <x:v>Safety</x:v>
      </x:c>
      <x:c r="D59" t="str">
        <x:v>SafeGuard</x:v>
      </x:c>
      <x:c r="E59" t="str">
        <x:v>box</x:v>
      </x:c>
      <x:c r="F59" t="str">
        <x:v>8905000000581</x:v>
      </x:c>
      <x:c r="G59" t="str">
        <x:v>BLR-01</x:v>
      </x:c>
      <x:c r="H59" t="str">
        <x:v>SFT-A1-02</x:v>
      </x:c>
      <x:c r="I59" t="str">
        <x:v>Shield Industrial Supply</x:v>
      </x:c>
      <x:c r="J59" s="12" t="n">
        <x:v>410</x:v>
      </x:c>
      <x:c r="K59" s="12" t="n">
        <x:v>675</x:v>
      </x:c>
      <x:c r="L59" s="14" t="n">
        <x:v>10</x:v>
      </x:c>
      <x:c r="M59" s="14" t="n">
        <x:v>9</x:v>
      </x:c>
      <x:c r="N59" s="14" t="n">
        <x:v>80</x:v>
      </x:c>
      <x:c r="O59" s="14" t="n">
        <x:v>18</x:v>
      </x:c>
      <x:c r="P59" t="str">
        <x:v>B26-SFT-02</x:v>
      </x:c>
      <x:c r="Q59" t="str"/>
      <x:c r="R59" t="str">
        <x:v>2026-07-14</x:v>
      </x:c>
      <x:c r="S59" s="1" t="b">
        <x:v>1</x:v>
      </x:c>
      <x:c r="T59" t="str">
        <x:v>IN_STOCK</x:v>
      </x:c>
      <x:c r="U59" t="str"/>
    </x:row>
    <x:row r="60" ht="21" customHeight="1">
      <x:c r="A60" t="str">
        <x:v>SFT-0003</x:v>
      </x:c>
      <x:c r="B60" t="str">
        <x:v>Fire Extinguisher 2kg</x:v>
      </x:c>
      <x:c r="C60" t="str">
        <x:v>Safety</x:v>
      </x:c>
      <x:c r="D60" t="str">
        <x:v>FireSafe</x:v>
      </x:c>
      <x:c r="E60" t="str">
        <x:v>piece</x:v>
      </x:c>
      <x:c r="F60" t="str">
        <x:v>8905000000598</x:v>
      </x:c>
      <x:c r="G60" t="str">
        <x:v>MUM-01</x:v>
      </x:c>
      <x:c r="H60" t="str">
        <x:v>SFT-A1-03</x:v>
      </x:c>
      <x:c r="I60" t="str">
        <x:v>Shield Industrial Supply</x:v>
      </x:c>
      <x:c r="J60" s="12" t="n">
        <x:v>1550</x:v>
      </x:c>
      <x:c r="K60" s="12" t="n">
        <x:v>2350</x:v>
      </x:c>
      <x:c r="L60" s="14" t="n">
        <x:v>43</x:v>
      </x:c>
      <x:c r="M60" s="14" t="n">
        <x:v>16</x:v>
      </x:c>
      <x:c r="N60" s="14" t="n">
        <x:v>120</x:v>
      </x:c>
      <x:c r="O60" s="14" t="n">
        <x:v>18</x:v>
      </x:c>
      <x:c r="P60" t="str">
        <x:v>B26-SFT-03</x:v>
      </x:c>
      <x:c r="Q60" t="str"/>
      <x:c r="R60" t="str">
        <x:v>2026-07-07</x:v>
      </x:c>
      <x:c r="S60" s="1" t="b">
        <x:v>1</x:v>
      </x:c>
      <x:c r="T60" t="str">
        <x:v>IN_STOCK</x:v>
      </x:c>
      <x:c r="U60" t="str"/>
    </x:row>
    <x:row r="61" ht="21" customHeight="1">
      <x:c r="A61" t="str">
        <x:v>SFT-0004</x:v>
      </x:c>
      <x:c r="B61" t="str">
        <x:v>Safety Goggles</x:v>
      </x:c>
      <x:c r="C61" t="str">
        <x:v>Safety</x:v>
      </x:c>
      <x:c r="D61" t="str">
        <x:v>SafeGuard</x:v>
      </x:c>
      <x:c r="E61" t="str">
        <x:v>piece</x:v>
      </x:c>
      <x:c r="F61" t="str">
        <x:v>8905000000604</x:v>
      </x:c>
      <x:c r="G61" t="str">
        <x:v>DEL-01</x:v>
      </x:c>
      <x:c r="H61" t="str">
        <x:v>SFT-A1-04</x:v>
      </x:c>
      <x:c r="I61" t="str">
        <x:v>Shield Industrial Supply</x:v>
      </x:c>
      <x:c r="J61" s="12" t="n">
        <x:v>105</x:v>
      </x:c>
      <x:c r="K61" s="12" t="n">
        <x:v>190</x:v>
      </x:c>
      <x:c r="L61" s="14" t="n">
        <x:v>112</x:v>
      </x:c>
      <x:c r="M61" s="14" t="n">
        <x:v>23</x:v>
      </x:c>
      <x:c r="N61" s="14" t="n">
        <x:v>112</x:v>
      </x:c>
      <x:c r="O61" s="14" t="n">
        <x:v>18</x:v>
      </x:c>
      <x:c r="P61" t="str">
        <x:v>B26-SFT-04</x:v>
      </x:c>
      <x:c r="Q61" t="str"/>
      <x:c r="R61" t="str">
        <x:v>2026-06-30</x:v>
      </x:c>
      <x:c r="S61" s="1" t="b">
        <x:v>1</x:v>
      </x:c>
      <x:c r="T61" t="str">
        <x:v>IN_STOCK</x:v>
      </x:c>
      <x:c r="U61" t="str"/>
    </x:row>
    <x:row r="62" ht="21" customHeight="1">
      <x:c r="A62" t="str">
        <x:v>SFT-0005</x:v>
      </x:c>
      <x:c r="B62" t="str">
        <x:v>Dust Mask 50 Pack</x:v>
      </x:c>
      <x:c r="C62" t="str">
        <x:v>Safety</x:v>
      </x:c>
      <x:c r="D62" t="str">
        <x:v>HygienePlus</x:v>
      </x:c>
      <x:c r="E62" t="str">
        <x:v>pack</x:v>
      </x:c>
      <x:c r="F62" t="str">
        <x:v>8905000000611</x:v>
      </x:c>
      <x:c r="G62" t="str">
        <x:v>BLR-01</x:v>
      </x:c>
      <x:c r="H62" t="str">
        <x:v>SFT-A2-01</x:v>
      </x:c>
      <x:c r="I62" t="str">
        <x:v>Shield Industrial Supply</x:v>
      </x:c>
      <x:c r="J62" s="12" t="n">
        <x:v>230</x:v>
      </x:c>
      <x:c r="K62" s="12" t="n">
        <x:v>410</x:v>
      </x:c>
      <x:c r="L62" s="14" t="n">
        <x:v>172</x:v>
      </x:c>
      <x:c r="M62" s="14" t="n">
        <x:v>30</x:v>
      </x:c>
      <x:c r="N62" s="14" t="n">
        <x:v>152</x:v>
      </x:c>
      <x:c r="O62" s="14" t="n">
        <x:v>18</x:v>
      </x:c>
      <x:c r="P62" t="str">
        <x:v>B26-SFT-05</x:v>
      </x:c>
      <x:c r="Q62" t="str"/>
      <x:c r="R62" t="str">
        <x:v>2026-06-23</x:v>
      </x:c>
      <x:c r="S62" s="1" t="b">
        <x:v>1</x:v>
      </x:c>
      <x:c r="T62" t="str">
        <x:v>OVERSTOCK</x:v>
      </x:c>
      <x:c r="U62" t="str">
        <x:v>Over maximum stock threshold</x:v>
      </x:c>
    </x:row>
    <x:row r="63" ht="21" customHeight="1">
      <x:c r="A63" t="str">
        <x:v>SFT-0006</x:v>
      </x:c>
      <x:c r="B63" t="str">
        <x:v>High Visibility Vest</x:v>
      </x:c>
      <x:c r="C63" t="str">
        <x:v>Safety</x:v>
      </x:c>
      <x:c r="D63" t="str">
        <x:v>SafeGuard</x:v>
      </x:c>
      <x:c r="E63" t="str">
        <x:v>piece</x:v>
      </x:c>
      <x:c r="F63" t="str">
        <x:v>8905000000628</x:v>
      </x:c>
      <x:c r="G63" t="str">
        <x:v>MUM-01</x:v>
      </x:c>
      <x:c r="H63" t="str">
        <x:v>SFT-A2-02</x:v>
      </x:c>
      <x:c r="I63" t="str">
        <x:v>Shield Industrial Supply</x:v>
      </x:c>
      <x:c r="J63" s="12" t="n">
        <x:v>175</x:v>
      </x:c>
      <x:c r="K63" s="12" t="n">
        <x:v>330</x:v>
      </x:c>
      <x:c r="L63" s="14" t="n">
        <x:v>17</x:v>
      </x:c>
      <x:c r="M63" s="14" t="n">
        <x:v>10</x:v>
      </x:c>
      <x:c r="N63" s="14" t="n">
        <x:v>84</x:v>
      </x:c>
      <x:c r="O63" s="14" t="n">
        <x:v>18</x:v>
      </x:c>
      <x:c r="P63" t="str">
        <x:v>B26-SFT-06</x:v>
      </x:c>
      <x:c r="Q63" t="str"/>
      <x:c r="R63" t="str">
        <x:v>2026-06-16</x:v>
      </x:c>
      <x:c r="S63" s="1" t="b">
        <x:v>1</x:v>
      </x:c>
      <x:c r="T63" t="str">
        <x:v>IN_STOCK</x:v>
      </x:c>
      <x:c r="U63" t="str"/>
    </x:row>
    <x:row r="64" ht="21" customHeight="1">
      <x:c r="A64" t="str">
        <x:v>SFT-0007</x:v>
      </x:c>
      <x:c r="B64" t="str">
        <x:v>Caution Floor Sign</x:v>
      </x:c>
      <x:c r="C64" t="str">
        <x:v>Safety</x:v>
      </x:c>
      <x:c r="D64" t="str">
        <x:v>SafeGuard</x:v>
      </x:c>
      <x:c r="E64" t="str">
        <x:v>piece</x:v>
      </x:c>
      <x:c r="F64" t="str">
        <x:v>8905000000635</x:v>
      </x:c>
      <x:c r="G64" t="str">
        <x:v>DEL-01</x:v>
      </x:c>
      <x:c r="H64" t="str">
        <x:v>SFT-A2-03</x:v>
      </x:c>
      <x:c r="I64" t="str">
        <x:v>Shield Industrial Supply</x:v>
      </x:c>
      <x:c r="J64" s="12" t="n">
        <x:v>390</x:v>
      </x:c>
      <x:c r="K64" s="12" t="n">
        <x:v>720</x:v>
      </x:c>
      <x:c r="L64" s="14" t="n">
        <x:v>59</x:v>
      </x:c>
      <x:c r="M64" s="14" t="n">
        <x:v>17</x:v>
      </x:c>
      <x:c r="N64" s="14" t="n">
        <x:v>124</x:v>
      </x:c>
      <x:c r="O64" s="14" t="n">
        <x:v>18</x:v>
      </x:c>
      <x:c r="P64" t="str">
        <x:v>B26-SFT-07</x:v>
      </x:c>
      <x:c r="Q64" t="str"/>
      <x:c r="R64" t="str">
        <x:v>2026-06-09</x:v>
      </x:c>
      <x:c r="S64" s="1" t="b">
        <x:v>1</x:v>
      </x:c>
      <x:c r="T64" t="str">
        <x:v>IN_STOCK</x:v>
      </x:c>
      <x:c r="U64" t="str"/>
    </x:row>
    <x:row r="65" ht="21" customHeight="1">
      <x:c r="A65" t="str">
        <x:v>SFT-0008</x:v>
      </x:c>
      <x:c r="B65" t="str">
        <x:v>Emergency Torch</x:v>
      </x:c>
      <x:c r="C65" t="str">
        <x:v>Safety</x:v>
      </x:c>
      <x:c r="D65" t="str">
        <x:v>FireSafe</x:v>
      </x:c>
      <x:c r="E65" t="str">
        <x:v>piece</x:v>
      </x:c>
      <x:c r="F65" t="str">
        <x:v>8905000000642</x:v>
      </x:c>
      <x:c r="G65" t="str">
        <x:v>BLR-01</x:v>
      </x:c>
      <x:c r="H65" t="str">
        <x:v>SFT-A2-04</x:v>
      </x:c>
      <x:c r="I65" t="str">
        <x:v>Shield Industrial Supply</x:v>
      </x:c>
      <x:c r="J65" s="12" t="n">
        <x:v>450</x:v>
      </x:c>
      <x:c r="K65" s="12" t="n">
        <x:v>850</x:v>
      </x:c>
      <x:c r="L65" s="14" t="n">
        <x:v>0</x:v>
      </x:c>
      <x:c r="M65" s="14" t="n">
        <x:v>24</x:v>
      </x:c>
      <x:c r="N65" s="14" t="n">
        <x:v>116</x:v>
      </x:c>
      <x:c r="O65" s="14" t="n">
        <x:v>18</x:v>
      </x:c>
      <x:c r="P65" t="str">
        <x:v>B26-SFT-08</x:v>
      </x:c>
      <x:c r="Q65" t="str"/>
      <x:c r="R65" t="str">
        <x:v>2026-06-02</x:v>
      </x:c>
      <x:c r="S65" s="1" t="b">
        <x:v>1</x:v>
      </x:c>
      <x:c r="T65" t="str">
        <x:v>OUT_OF_STOCK</x:v>
      </x:c>
      <x:c r="U65" t="str">
        <x:v>Zero stock - replenishment check</x:v>
      </x:c>
    </x:row>
    <x:row r="66" ht="21" customHeight="1">
      <x:c r="A66" t="str">
        <x:v>MNT-0001</x:v>
      </x:c>
      <x:c r="B66" t="str">
        <x:v>LED Bulb 12W</x:v>
      </x:c>
      <x:c r="C66" t="str">
        <x:v>Maintenance</x:v>
      </x:c>
      <x:c r="D66" t="str">
        <x:v>BrightLite</x:v>
      </x:c>
      <x:c r="E66" t="str">
        <x:v>piece</x:v>
      </x:c>
      <x:c r="F66" t="str">
        <x:v>8905000000659</x:v>
      </x:c>
      <x:c r="G66" t="str">
        <x:v>MUM-01</x:v>
      </x:c>
      <x:c r="H66" t="str">
        <x:v>MNT-A1-01</x:v>
      </x:c>
      <x:c r="I66" t="str">
        <x:v>Prime Hardware Depot</x:v>
      </x:c>
      <x:c r="J66" s="12" t="n">
        <x:v>115</x:v>
      </x:c>
      <x:c r="K66" s="12" t="n">
        <x:v>215</x:v>
      </x:c>
      <x:c r="L66" s="14" t="n">
        <x:v>28</x:v>
      </x:c>
      <x:c r="M66" s="14" t="n">
        <x:v>31</x:v>
      </x:c>
      <x:c r="N66" s="14" t="n">
        <x:v>156</x:v>
      </x:c>
      <x:c r="O66" s="14" t="n">
        <x:v>18</x:v>
      </x:c>
      <x:c r="P66" t="str">
        <x:v>B26-MNT-01</x:v>
      </x:c>
      <x:c r="Q66" t="str"/>
      <x:c r="R66" t="str">
        <x:v>2026-05-26</x:v>
      </x:c>
      <x:c r="S66" s="1" t="b">
        <x:v>1</x:v>
      </x:c>
      <x:c r="T66" t="str">
        <x:v>LOW_STOCK</x:v>
      </x:c>
      <x:c r="U66" t="str">
        <x:v>At or below reorder level</x:v>
      </x:c>
    </x:row>
    <x:row r="67" ht="21" customHeight="1">
      <x:c r="A67" t="str">
        <x:v>MNT-0002</x:v>
      </x:c>
      <x:c r="B67" t="str">
        <x:v>Extension Cord 5m</x:v>
      </x:c>
      <x:c r="C67" t="str">
        <x:v>Maintenance</x:v>
      </x:c>
      <x:c r="D67" t="str">
        <x:v>SafeVolt</x:v>
      </x:c>
      <x:c r="E67" t="str">
        <x:v>piece</x:v>
      </x:c>
      <x:c r="F67" t="str">
        <x:v>8905000000666</x:v>
      </x:c>
      <x:c r="G67" t="str">
        <x:v>DEL-01</x:v>
      </x:c>
      <x:c r="H67" t="str">
        <x:v>MNT-A1-02</x:v>
      </x:c>
      <x:c r="I67" t="str">
        <x:v>Prime Hardware Depot</x:v>
      </x:c>
      <x:c r="J67" s="12" t="n">
        <x:v>480</x:v>
      </x:c>
      <x:c r="K67" s="12" t="n">
        <x:v>850</x:v>
      </x:c>
      <x:c r="L67" s="14" t="n">
        <x:v>11</x:v>
      </x:c>
      <x:c r="M67" s="14" t="n">
        <x:v>11</x:v>
      </x:c>
      <x:c r="N67" s="14" t="n">
        <x:v>88</x:v>
      </x:c>
      <x:c r="O67" s="14" t="n">
        <x:v>18</x:v>
      </x:c>
      <x:c r="P67" t="str">
        <x:v>B26-MNT-02</x:v>
      </x:c>
      <x:c r="Q67" t="str"/>
      <x:c r="R67" t="str">
        <x:v>2026-05-19</x:v>
      </x:c>
      <x:c r="S67" s="1" t="b">
        <x:v>1</x:v>
      </x:c>
      <x:c r="T67" t="str">
        <x:v>LOW_STOCK</x:v>
      </x:c>
      <x:c r="U67" t="str">
        <x:v>At or below reorder level</x:v>
      </x:c>
    </x:row>
    <x:row r="68" ht="21" customHeight="1">
      <x:c r="A68" t="str">
        <x:v>MNT-0003</x:v>
      </x:c>
      <x:c r="B68" t="str">
        <x:v>Screwdriver Set 6 Piece</x:v>
      </x:c>
      <x:c r="C68" t="str">
        <x:v>Maintenance</x:v>
      </x:c>
      <x:c r="D68" t="str">
        <x:v>ToolCraft</x:v>
      </x:c>
      <x:c r="E68" t="str">
        <x:v>set</x:v>
      </x:c>
      <x:c r="F68" t="str">
        <x:v>8905000000673</x:v>
      </x:c>
      <x:c r="G68" t="str">
        <x:v>BLR-01</x:v>
      </x:c>
      <x:c r="H68" t="str">
        <x:v>MNT-A1-03</x:v>
      </x:c>
      <x:c r="I68" t="str">
        <x:v>Prime Hardware Depot</x:v>
      </x:c>
      <x:c r="J68" s="12" t="n">
        <x:v>250</x:v>
      </x:c>
      <x:c r="K68" s="12" t="n">
        <x:v>480</x:v>
      </x:c>
      <x:c r="L68" s="14" t="n">
        <x:v>19</x:v>
      </x:c>
      <x:c r="M68" s="14" t="n">
        <x:v>18</x:v>
      </x:c>
      <x:c r="N68" s="14" t="n">
        <x:v>128</x:v>
      </x:c>
      <x:c r="O68" s="14" t="n">
        <x:v>18</x:v>
      </x:c>
      <x:c r="P68" t="str">
        <x:v>B26-MNT-03</x:v>
      </x:c>
      <x:c r="Q68" t="str"/>
      <x:c r="R68" t="str">
        <x:v>2026-05-12</x:v>
      </x:c>
      <x:c r="S68" s="1" t="b">
        <x:v>1</x:v>
      </x:c>
      <x:c r="T68" t="str">
        <x:v>IN_STOCK</x:v>
      </x:c>
      <x:c r="U68" t="str"/>
    </x:row>
    <x:row r="69" ht="21" customHeight="1">
      <x:c r="A69" t="str">
        <x:v>MNT-0004</x:v>
      </x:c>
      <x:c r="B69" t="str">
        <x:v>Cable Ties 100 Pack</x:v>
      </x:c>
      <x:c r="C69" t="str">
        <x:v>Maintenance</x:v>
      </x:c>
      <x:c r="D69" t="str">
        <x:v>ToolCraft</x:v>
      </x:c>
      <x:c r="E69" t="str">
        <x:v>pack</x:v>
      </x:c>
      <x:c r="F69" t="str">
        <x:v>8905000000680</x:v>
      </x:c>
      <x:c r="G69" t="str">
        <x:v>MUM-01</x:v>
      </x:c>
      <x:c r="H69" t="str">
        <x:v>MNT-A1-04</x:v>
      </x:c>
      <x:c r="I69" t="str">
        <x:v>Prime Hardware Depot</x:v>
      </x:c>
      <x:c r="J69" s="12" t="n">
        <x:v>85</x:v>
      </x:c>
      <x:c r="K69" s="12" t="n">
        <x:v>150</x:v>
      </x:c>
      <x:c r="L69" s="14" t="n">
        <x:v>52</x:v>
      </x:c>
      <x:c r="M69" s="14" t="n">
        <x:v>25</x:v>
      </x:c>
      <x:c r="N69" s="14" t="n">
        <x:v>120</x:v>
      </x:c>
      <x:c r="O69" s="14" t="n">
        <x:v>18</x:v>
      </x:c>
      <x:c r="P69" t="str">
        <x:v>B26-MNT-04</x:v>
      </x:c>
      <x:c r="Q69" t="str"/>
      <x:c r="R69" t="str">
        <x:v>2026-05-05</x:v>
      </x:c>
      <x:c r="S69" s="1" t="b">
        <x:v>1</x:v>
      </x:c>
      <x:c r="T69" t="str">
        <x:v>IN_STOCK</x:v>
      </x:c>
      <x:c r="U69" t="str"/>
    </x:row>
    <x:row r="70" ht="21" customHeight="1">
      <x:c r="A70" t="str">
        <x:v>MNT-0005</x:v>
      </x:c>
      <x:c r="B70" t="str">
        <x:v>AA Battery 10 Pack</x:v>
      </x:c>
      <x:c r="C70" t="str">
        <x:v>Maintenance</x:v>
      </x:c>
      <x:c r="D70" t="str">
        <x:v>PowerCell</x:v>
      </x:c>
      <x:c r="E70" t="str">
        <x:v>pack</x:v>
      </x:c>
      <x:c r="F70" t="str">
        <x:v>8905000000697</x:v>
      </x:c>
      <x:c r="G70" t="str">
        <x:v>DEL-01</x:v>
      </x:c>
      <x:c r="H70" t="str">
        <x:v>MNT-A2-01</x:v>
      </x:c>
      <x:c r="I70" t="str">
        <x:v>Prime Hardware Depot</x:v>
      </x:c>
      <x:c r="J70" s="12" t="n">
        <x:v>210</x:v>
      </x:c>
      <x:c r="K70" s="12" t="n">
        <x:v>360</x:v>
      </x:c>
      <x:c r="L70" s="14" t="n">
        <x:v>160</x:v>
      </x:c>
      <x:c r="M70" s="14" t="n">
        <x:v>32</x:v>
      </x:c>
      <x:c r="N70" s="14" t="n">
        <x:v>160</x:v>
      </x:c>
      <x:c r="O70" s="14" t="n">
        <x:v>18</x:v>
      </x:c>
      <x:c r="P70" t="str">
        <x:v>B26-MNT-05</x:v>
      </x:c>
      <x:c r="Q70" t="str"/>
      <x:c r="R70" t="str">
        <x:v>2026-04-28</x:v>
      </x:c>
      <x:c r="S70" s="1" t="b">
        <x:v>1</x:v>
      </x:c>
      <x:c r="T70" t="str">
        <x:v>IN_STOCK</x:v>
      </x:c>
      <x:c r="U70" t="str"/>
    </x:row>
    <x:row r="71" ht="21" customHeight="1">
      <x:c r="A71" t="str">
        <x:v>MNT-0006</x:v>
      </x:c>
      <x:c r="B71" t="str">
        <x:v>Insulation Tape 10 Pack</x:v>
      </x:c>
      <x:c r="C71" t="str">
        <x:v>Maintenance</x:v>
      </x:c>
      <x:c r="D71" t="str">
        <x:v>SafeVolt</x:v>
      </x:c>
      <x:c r="E71" t="str">
        <x:v>pack</x:v>
      </x:c>
      <x:c r="F71" t="str">
        <x:v>8905000000703</x:v>
      </x:c>
      <x:c r="G71" t="str">
        <x:v>BLR-01</x:v>
      </x:c>
      <x:c r="H71" t="str">
        <x:v>MNT-A2-02</x:v>
      </x:c>
      <x:c r="I71" t="str">
        <x:v>Prime Hardware Depot</x:v>
      </x:c>
      <x:c r="J71" s="12" t="n">
        <x:v>155</x:v>
      </x:c>
      <x:c r="K71" s="12" t="n">
        <x:v>260</x:v>
      </x:c>
      <x:c r="L71" s="14" t="n">
        <x:v>112</x:v>
      </x:c>
      <x:c r="M71" s="14" t="n">
        <x:v>12</x:v>
      </x:c>
      <x:c r="N71" s="14" t="n">
        <x:v>92</x:v>
      </x:c>
      <x:c r="O71" s="14" t="n">
        <x:v>18</x:v>
      </x:c>
      <x:c r="P71" t="str">
        <x:v>B26-MNT-06</x:v>
      </x:c>
      <x:c r="Q71" t="str"/>
      <x:c r="R71" t="str">
        <x:v>2026-04-21</x:v>
      </x:c>
      <x:c r="S71" s="1" t="b">
        <x:v>1</x:v>
      </x:c>
      <x:c r="T71" t="str">
        <x:v>OVERSTOCK</x:v>
      </x:c>
      <x:c r="U71" t="str">
        <x:v>Over maximum stock threshold</x:v>
      </x:c>
    </x:row>
    <x:row r="72" ht="21" customHeight="1">
      <x:c r="A72" t="str">
        <x:v>MNT-0007</x:v>
      </x:c>
      <x:c r="B72" t="str">
        <x:v>Adjustable Wrench 10in</x:v>
      </x:c>
      <x:c r="C72" t="str">
        <x:v>Maintenance</x:v>
      </x:c>
      <x:c r="D72" t="str">
        <x:v>ToolCraft</x:v>
      </x:c>
      <x:c r="E72" t="str">
        <x:v>piece</x:v>
      </x:c>
      <x:c r="F72" t="str">
        <x:v>8905000000710</x:v>
      </x:c>
      <x:c r="G72" t="str">
        <x:v>MUM-01</x:v>
      </x:c>
      <x:c r="H72" t="str">
        <x:v>MNT-A2-03</x:v>
      </x:c>
      <x:c r="I72" t="str">
        <x:v>Prime Hardware Depot</x:v>
      </x:c>
      <x:c r="J72" s="12" t="n">
        <x:v>295</x:v>
      </x:c>
      <x:c r="K72" s="12" t="n">
        <x:v>520</x:v>
      </x:c>
      <x:c r="L72" s="14" t="n">
        <x:v>26</x:v>
      </x:c>
      <x:c r="M72" s="14" t="n">
        <x:v>19</x:v>
      </x:c>
      <x:c r="N72" s="14" t="n">
        <x:v>132</x:v>
      </x:c>
      <x:c r="O72" s="14" t="n">
        <x:v>18</x:v>
      </x:c>
      <x:c r="P72" t="str">
        <x:v>B26-MNT-07</x:v>
      </x:c>
      <x:c r="Q72" t="str"/>
      <x:c r="R72" t="str">
        <x:v>2026-09-26</x:v>
      </x:c>
      <x:c r="S72" s="1" t="b">
        <x:v>1</x:v>
      </x:c>
      <x:c r="T72" t="str">
        <x:v>IN_STOCK</x:v>
      </x:c>
      <x:c r="U72" t="str"/>
    </x:row>
    <x:row r="73" ht="21" customHeight="1">
      <x:c r="A73" t="str">
        <x:v>MNT-0008</x:v>
      </x:c>
      <x:c r="B73" t="str">
        <x:v>LED Panel Light 18W</x:v>
      </x:c>
      <x:c r="C73" t="str">
        <x:v>Maintenance</x:v>
      </x:c>
      <x:c r="D73" t="str">
        <x:v>BrightLite</x:v>
      </x:c>
      <x:c r="E73" t="str">
        <x:v>piece</x:v>
      </x:c>
      <x:c r="F73" t="str">
        <x:v>8905000000727</x:v>
      </x:c>
      <x:c r="G73" t="str">
        <x:v>DEL-01</x:v>
      </x:c>
      <x:c r="H73" t="str">
        <x:v>MNT-A2-04</x:v>
      </x:c>
      <x:c r="I73" t="str">
        <x:v>Prime Hardware Depot</x:v>
      </x:c>
      <x:c r="J73" s="12" t="n">
        <x:v>420</x:v>
      </x:c>
      <x:c r="K73" s="12" t="n">
        <x:v>725</x:v>
      </x:c>
      <x:c r="L73" s="14" t="n">
        <x:v>68</x:v>
      </x:c>
      <x:c r="M73" s="14" t="n">
        <x:v>26</x:v>
      </x:c>
      <x:c r="N73" s="14" t="n">
        <x:v>124</x:v>
      </x:c>
      <x:c r="O73" s="14" t="n">
        <x:v>18</x:v>
      </x:c>
      <x:c r="P73" t="str">
        <x:v>B26-MNT-08</x:v>
      </x:c>
      <x:c r="Q73" t="str"/>
      <x:c r="R73" t="str">
        <x:v>2026-09-19</x:v>
      </x:c>
      <x:c r="S73" s="1" t="b">
        <x:v>1</x:v>
      </x:c>
      <x:c r="T73" t="str">
        <x:v>IN_STOCK</x:v>
      </x:c>
      <x:c r="U73" t="str"/>
    </x:row>
  </x:sheetData>
  <x:conditionalFormatting sqref="T2:T73">
    <x:cfRule type="expression" dxfId="0" priority="1">
      <x:formula>T2="OUT_OF_STOCK"</x:formula>
    </x:cfRule>
    <x:cfRule type="expression" dxfId="1" priority="2">
      <x:formula>T2="LOW_STOCK"</x:formula>
    </x:cfRule>
    <x:cfRule type="expression" dxfId="2" priority="3">
      <x:formula>T2="OVERSTOCK"</x:formula>
    </x:cfRule>
    <x:cfRule type="expression" dxfId="3" priority="4">
      <x:formula>T2="DISCONTINUED"</x:formula>
    </x:cfRule>
  </x:conditionalFormatting>
  <x:dataValidations count="3">
    <x:dataValidation type="list" sqref="G2:G400">
      <x:formula1>"BLR-01,MUM-01,DEL-01"</x:formula1>
    </x:dataValidation>
    <x:dataValidation type="list" sqref="C2:C400">
      <x:formula1>"Electronics,IT Accessories,Stationery,Office Furniture,Cleaning,Pantry,Packaging,Safety,Maintenance"</x:formula1>
    </x:dataValidation>
    <x:dataValidation type="list" sqref="T2:T400">
      <x:formula1>"IN_STOCK,LOW_STOCK,OUT_OF_STOCK,OVERSTOCK,DISCONTINUED"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656149883247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83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28" customHeight="1">
      <x:c r="A1" s="17" t="str">
        <x:v>INVENTORY • QA TEST PACK</x:v>
      </x:c>
      <x:c r="B1" s="17"/>
      <x:c r="C1" s="17"/>
      <x:c r="D1" s="17"/>
      <x:c r="E1" s="17"/>
      <x:c r="F1" s="17"/>
    </x:row>
    <x:row r="2" ht="28" customHeight="1">
      <x:c r="A2" s="17"/>
      <x:c r="B2" s="17"/>
      <x:c r="C2" s="17"/>
      <x:c r="D2" s="17"/>
      <x:c r="E2" s="17"/>
      <x:c r="F2" s="17"/>
    </x:row>
    <x:row r="3" ht="27" customHeight="1">
      <x:c r="A3" s="21" t="str">
        <x:v>72 fictional products • INR pricing • 3 warehouses • 9 categories • sample date: 2026-10-03</x:v>
      </x:c>
      <x:c r="B3" s="21"/>
      <x:c r="C3" s="21"/>
      <x:c r="D3" s="21"/>
      <x:c r="E3" s="21"/>
      <x:c r="F3" s="21"/>
    </x:row>
    <x:row r="5" ht="24" customHeight="1">
      <x:c r="A5" s="25" t="str">
        <x:v>Live workbook metric</x:v>
      </x:c>
      <x:c r="B5" s="25" t="str">
        <x:v>Value</x:v>
      </x:c>
    </x:row>
    <x:row r="6">
      <x:c r="A6" t="str">
        <x:v>Total sample SKUs</x:v>
      </x:c>
      <x:c r="B6" t="n">
        <x:f>COUNTA(Inventory_Data!A2:A73)</x:f>
        <x:v>72</x:v>
      </x:c>
    </x:row>
    <x:row r="7">
      <x:c r="A7" t="str">
        <x:v>Active SKUs</x:v>
      </x:c>
      <x:c r="B7" t="n">
        <x:f>COUNTIF(Inventory_Data!S2:S73,TRUE)</x:f>
        <x:v>0</x:v>
      </x:c>
    </x:row>
    <x:row r="8">
      <x:c r="A8" t="str">
        <x:v>Discontinued SKUs</x:v>
      </x:c>
      <x:c r="B8" t="n">
        <x:f>COUNTIF(Inventory_Data!T2:T73,"DISCONTINUED")</x:f>
        <x:v>2</x:v>
      </x:c>
    </x:row>
    <x:row r="9">
      <x:c r="A9" t="str">
        <x:v>Out-of-stock SKUs</x:v>
      </x:c>
      <x:c r="B9" t="n">
        <x:f>COUNTIF(Inventory_Data!T2:T73,"OUT_OF_STOCK")</x:f>
        <x:v>8</x:v>
      </x:c>
    </x:row>
    <x:row r="10">
      <x:c r="A10" t="str">
        <x:v>Low-stock SKUs</x:v>
      </x:c>
      <x:c r="B10" t="n">
        <x:f>COUNTIF(Inventory_Data!T2:T73,"LOW_STOCK")</x:f>
        <x:v>16</x:v>
      </x:c>
    </x:row>
    <x:row r="11">
      <x:c r="A11" t="str">
        <x:v>In-stock SKUs</x:v>
      </x:c>
      <x:c r="B11" t="n">
        <x:f>COUNTIF(Inventory_Data!T2:T73,"IN_STOCK")</x:f>
        <x:v>39</x:v>
      </x:c>
    </x:row>
    <x:row r="12">
      <x:c r="A12" t="str">
        <x:v>Overstock SKUs</x:v>
      </x:c>
      <x:c r="B12" t="n">
        <x:f>COUNTIF(Inventory_Data!T2:T73,"OVERSTOCK")</x:f>
        <x:v>7</x:v>
      </x:c>
    </x:row>
    <x:row r="13">
      <x:c r="A13" t="str">
        <x:v>Total on-hand units</x:v>
      </x:c>
      <x:c r="B13" t="n">
        <x:f>SUM(Inventory_Data!L2:L73)</x:f>
        <x:v>3763</x:v>
      </x:c>
    </x:row>
    <x:row r="14">
      <x:c r="A14" t="str">
        <x:v>Inventory at cost (INR)</x:v>
      </x:c>
      <x:c r="B14" s="28" t="n">
        <x:f>SUMPRODUCT(Inventory_Data!J2:J73,Inventory_Data!L2:L73)</x:f>
        <x:v>2342130</x:v>
      </x:c>
    </x:row>
    <x:row r="17" ht="24" customHeight="1">
      <x:c r="A17" s="25" t="str">
        <x:v>How to use</x:v>
      </x:c>
      <x:c r="B17" s="25" t="str">
        <x:v>Expected behavior</x:v>
      </x:c>
    </x:row>
    <x:row r="18" ht="37" customHeight="1">
      <x:c r="A18" t="str">
        <x:v>1 • Import</x:v>
      </x:c>
      <x:c r="B18" s="30" t="str">
        <x:v>Import the CSV or the Inventory_Data sheet; they contain the same 72 records.</x:v>
      </x:c>
    </x:row>
    <x:row r="19" ht="37" customHeight="1">
      <x:c r="A19" t="str">
        <x:v>2 • Map fields</x:v>
      </x:c>
      <x:c r="B19" s="30" t="str">
        <x:v>Match headers to your app schema. Ignore expected_stock_status if your backend computes it.</x:v>
      </x:c>
    </x:row>
    <x:row r="20" ht="37" customHeight="1">
      <x:c r="A20" t="str">
        <x:v>3 • Verify states</x:v>
      </x:c>
      <x:c r="B20" s="30" t="str">
        <x:v>Filter expected_stock_status for zero, low, normal, excessive and discontinued stock.</x:v>
      </x:c>
    </x:row>
    <x:row r="21" ht="37" customHeight="1">
      <x:c r="A21" t="str">
        <x:v>4 • Run stock flows</x:v>
      </x:c>
      <x:c r="B21" s="30" t="str">
        <x:v>Use Stock_Movements as independent mock transaction inputs after import.</x:v>
      </x:c>
    </x:row>
    <x:row r="22" ht="37" customHeight="1">
      <x:c r="A22" t="str">
        <x:v>5 • Negative cases</x:v>
      </x:c>
      <x:c r="B22" s="30" t="str">
        <x:v>Use Invalid_Examples to test field validation and error reporting.</x:v>
      </x:c>
    </x:row>
    <x:row r="23" ht="37" customHeight="1">
      <x:c r="A23" t="str">
        <x:v>6 • Expiry</x:v>
      </x:c>
      <x:c r="B23" s="30" t="str">
        <x:v>Check expired and near-expiry notes in Cleaning and Pantry rows.</x:v>
      </x:c>
    </x:row>
    <x:row r="24" ht="37" customHeight="1">
      <x:c r="A24" t="str">
        <x:v>7 • No real data</x:v>
      </x:c>
      <x:c r="B24" s="30" t="str">
        <x:v>All products, suppliers, barcodes, batches and prices are synthetic.</x:v>
      </x:c>
    </x:row>
    <x:row r="25" ht="37" customHeight="1">
      <x:c r="A25" t="str">
        <x:v>8 • Inventory totals</x:v>
      </x:c>
      <x:c r="B25" s="30" t="str">
        <x:v>Stock_Movements are separate tests and are not included in imported opening stock.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25" hidden="0" customWidth="1"/>
    <x:col min="6" max="6" width="13" hidden="0" customWidth="1"/>
    <x:col min="7" max="7" width="20" hidden="0" customWidth="1"/>
    <x:col min="8" max="8" width="62" hidden="0" customWidth="1"/>
  </x:cols>
  <x:sheetData>
    <x:row r="1" ht="34" customHeight="1">
      <x:c r="A1" s="7" t="str">
        <x:v>movement_id</x:v>
      </x:c>
      <x:c r="B1" s="7" t="str">
        <x:v>transaction_date</x:v>
      </x:c>
      <x:c r="C1" s="7" t="str">
        <x:v>sku</x:v>
      </x:c>
      <x:c r="D1" s="7" t="str">
        <x:v>warehouse</x:v>
      </x:c>
      <x:c r="E1" s="7" t="str">
        <x:v>movement_type</x:v>
      </x:c>
      <x:c r="F1" s="7" t="str">
        <x:v>quantity</x:v>
      </x:c>
      <x:c r="G1" s="7" t="str">
        <x:v>reference</x:v>
      </x:c>
      <x:c r="H1" s="7" t="str">
        <x:v>notes</x:v>
      </x:c>
    </x:row>
    <x:row r="2" ht="23" customHeight="1">
      <x:c r="A2" t="str">
        <x:v>MOV-202610-001</x:v>
      </x:c>
      <x:c r="B2" t="str">
        <x:v>2026-10-03</x:v>
      </x:c>
      <x:c r="C2" t="str">
        <x:v>ELE-0002</x:v>
      </x:c>
      <x:c r="D2" t="str">
        <x:v>MUM-01</x:v>
      </x:c>
      <x:c r="E2" t="str">
        <x:v>STOCK_IN</x:v>
      </x:c>
      <x:c r="F2" t="n">
        <x:v>2</x:v>
      </x:c>
      <x:c r="G2" t="str">
        <x:v>QA-REF-0001</x:v>
      </x:c>
      <x:c r="H2" t="str">
        <x:v>Independent test movement; post after opening-stock import</x:v>
      </x:c>
    </x:row>
    <x:row r="3" ht="23" customHeight="1">
      <x:c r="A3" t="str">
        <x:v>MOV-202610-002</x:v>
      </x:c>
      <x:c r="B3" t="str">
        <x:v>2026-10-04</x:v>
      </x:c>
      <x:c r="C3" t="str">
        <x:v>ELE-0005</x:v>
      </x:c>
      <x:c r="D3" t="str">
        <x:v>MUM-01</x:v>
      </x:c>
      <x:c r="E3" t="str">
        <x:v>STOCK_OUT</x:v>
      </x:c>
      <x:c r="F3" t="n">
        <x:v>2</x:v>
      </x:c>
      <x:c r="G3" t="str">
        <x:v>QA-REF-0002</x:v>
      </x:c>
      <x:c r="H3" t="str">
        <x:v>Independent test movement; post after opening-stock import</x:v>
      </x:c>
    </x:row>
    <x:row r="4" ht="23" customHeight="1">
      <x:c r="A4" t="str">
        <x:v>MOV-202610-003</x:v>
      </x:c>
      <x:c r="B4" t="str">
        <x:v>2026-10-05</x:v>
      </x:c>
      <x:c r="C4" t="str">
        <x:v>ELE-0008</x:v>
      </x:c>
      <x:c r="D4" t="str">
        <x:v>MUM-01</x:v>
      </x:c>
      <x:c r="E4" t="str">
        <x:v>CUSTOMER_RETURN</x:v>
      </x:c>
      <x:c r="F4" t="n">
        <x:v>4</x:v>
      </x:c>
      <x:c r="G4" t="str">
        <x:v>QA-REF-0003</x:v>
      </x:c>
      <x:c r="H4" t="str">
        <x:v>Independent test movement; post after opening-stock import</x:v>
      </x:c>
    </x:row>
    <x:row r="5" ht="23" customHeight="1">
      <x:c r="A5" t="str">
        <x:v>MOV-202610-004</x:v>
      </x:c>
      <x:c r="B5" t="str">
        <x:v>2026-10-06</x:v>
      </x:c>
      <x:c r="C5" t="str">
        <x:v>ITA-0004</x:v>
      </x:c>
      <x:c r="D5" t="str">
        <x:v>DEL-01</x:v>
      </x:c>
      <x:c r="E5" t="str">
        <x:v>STOCK_IN</x:v>
      </x:c>
      <x:c r="F5" t="n">
        <x:v>5</x:v>
      </x:c>
      <x:c r="G5" t="str">
        <x:v>QA-REF-0004</x:v>
      </x:c>
      <x:c r="H5" t="str">
        <x:v>Independent test movement; post after opening-stock import</x:v>
      </x:c>
    </x:row>
    <x:row r="6" ht="23" customHeight="1">
      <x:c r="A6" t="str">
        <x:v>MOV-202610-005</x:v>
      </x:c>
      <x:c r="B6" t="str">
        <x:v>2026-10-07</x:v>
      </x:c>
      <x:c r="C6" t="str">
        <x:v>ITA-0007</x:v>
      </x:c>
      <x:c r="D6" t="str">
        <x:v>DEL-01</x:v>
      </x:c>
      <x:c r="E6" t="str">
        <x:v>STOCK_OUT</x:v>
      </x:c>
      <x:c r="F6" t="n">
        <x:v>5</x:v>
      </x:c>
      <x:c r="G6" t="str">
        <x:v>QA-REF-0005</x:v>
      </x:c>
      <x:c r="H6" t="str">
        <x:v>Independent test movement; post after opening-stock import</x:v>
      </x:c>
    </x:row>
    <x:row r="7" ht="23" customHeight="1">
      <x:c r="A7" t="str">
        <x:v>MOV-202610-006</x:v>
      </x:c>
      <x:c r="B7" t="str">
        <x:v>2026-10-08</x:v>
      </x:c>
      <x:c r="C7" t="str">
        <x:v>STA-0004</x:v>
      </x:c>
      <x:c r="D7" t="str">
        <x:v>MUM-01</x:v>
      </x:c>
      <x:c r="E7" t="str">
        <x:v>ADJUSTMENT_IN</x:v>
      </x:c>
      <x:c r="F7" t="n">
        <x:v>7</x:v>
      </x:c>
      <x:c r="G7" t="str">
        <x:v>QA-REF-0006</x:v>
      </x:c>
      <x:c r="H7" t="str">
        <x:v>Independent test movement; post after opening-stock import</x:v>
      </x:c>
    </x:row>
    <x:row r="8" ht="23" customHeight="1">
      <x:c r="A8" t="str">
        <x:v>MOV-202610-007</x:v>
      </x:c>
      <x:c r="B8" t="str">
        <x:v>2026-10-09</x:v>
      </x:c>
      <x:c r="C8" t="str">
        <x:v>STA-0007</x:v>
      </x:c>
      <x:c r="D8" t="str">
        <x:v>MUM-01</x:v>
      </x:c>
      <x:c r="E8" t="str">
        <x:v>ADJUSTMENT_OUT</x:v>
      </x:c>
      <x:c r="F8" t="n">
        <x:v>7</x:v>
      </x:c>
      <x:c r="G8" t="str">
        <x:v>QA-REF-0007</x:v>
      </x:c>
      <x:c r="H8" t="str">
        <x:v>Independent test movement; post after opening-stock import</x:v>
      </x:c>
    </x:row>
    <x:row r="9" ht="23" customHeight="1">
      <x:c r="A9" t="str">
        <x:v>MOV-202610-008</x:v>
      </x:c>
      <x:c r="B9" t="str">
        <x:v>2026-10-10</x:v>
      </x:c>
      <x:c r="C9" t="str">
        <x:v>FUR-0002</x:v>
      </x:c>
      <x:c r="D9" t="str">
        <x:v>MUM-01</x:v>
      </x:c>
      <x:c r="E9" t="str">
        <x:v>SUPPLIER_RETURN</x:v>
      </x:c>
      <x:c r="F9" t="n">
        <x:v>1</x:v>
      </x:c>
      <x:c r="G9" t="str">
        <x:v>QA-REF-0008</x:v>
      </x:c>
      <x:c r="H9" t="str">
        <x:v>Independent test movement; post after opening-stock import</x:v>
      </x:c>
    </x:row>
    <x:row r="10" ht="23" customHeight="1">
      <x:c r="A10" t="str">
        <x:v>MOV-202610-009</x:v>
      </x:c>
      <x:c r="B10" t="str">
        <x:v>2026-10-11</x:v>
      </x:c>
      <x:c r="C10" t="str">
        <x:v>FUR-0006</x:v>
      </x:c>
      <x:c r="D10" t="str">
        <x:v>DEL-01</x:v>
      </x:c>
      <x:c r="E10" t="str">
        <x:v>STOCK_IN</x:v>
      </x:c>
      <x:c r="F10" t="n">
        <x:v>2</x:v>
      </x:c>
      <x:c r="G10" t="str">
        <x:v>QA-REF-0009</x:v>
      </x:c>
      <x:c r="H10" t="str">
        <x:v>Independent test movement; post after opening-stock import</x:v>
      </x:c>
    </x:row>
    <x:row r="11" ht="23" customHeight="1">
      <x:c r="A11" t="str">
        <x:v>MOV-202610-010</x:v>
      </x:c>
      <x:c r="B11" t="str">
        <x:v>2026-10-12</x:v>
      </x:c>
      <x:c r="C11" t="str">
        <x:v>CLN-0001</x:v>
      </x:c>
      <x:c r="D11" t="str">
        <x:v>DEL-01</x:v>
      </x:c>
      <x:c r="E11" t="str">
        <x:v>STOCK_OUT</x:v>
      </x:c>
      <x:c r="F11" t="n">
        <x:v>3</x:v>
      </x:c>
      <x:c r="G11" t="str">
        <x:v>QA-REF-0010</x:v>
      </x:c>
      <x:c r="H11" t="str">
        <x:v>Independent test movement; post after opening-stock import</x:v>
      </x:c>
    </x:row>
    <x:row r="12" ht="23" customHeight="1">
      <x:c r="A12" t="str">
        <x:v>MOV-202610-011</x:v>
      </x:c>
      <x:c r="B12" t="str">
        <x:v>2026-10-13</x:v>
      </x:c>
      <x:c r="C12" t="str">
        <x:v>CLN-0004</x:v>
      </x:c>
      <x:c r="D12" t="str">
        <x:v>DEL-01</x:v>
      </x:c>
      <x:c r="E12" t="str">
        <x:v>CUSTOMER_RETURN</x:v>
      </x:c>
      <x:c r="F12" t="n">
        <x:v>4</x:v>
      </x:c>
      <x:c r="G12" t="str">
        <x:v>QA-REF-0011</x:v>
      </x:c>
      <x:c r="H12" t="str">
        <x:v>Independent test movement; post after opening-stock import</x:v>
      </x:c>
    </x:row>
    <x:row r="13" ht="23" customHeight="1">
      <x:c r="A13" t="str">
        <x:v>MOV-202610-012</x:v>
      </x:c>
      <x:c r="B13" t="str">
        <x:v>2026-10-14</x:v>
      </x:c>
      <x:c r="C13" t="str">
        <x:v>CLN-0008</x:v>
      </x:c>
      <x:c r="D13" t="str">
        <x:v>BLR-01</x:v>
      </x:c>
      <x:c r="E13" t="str">
        <x:v>STOCK_IN</x:v>
      </x:c>
      <x:c r="F13" t="n">
        <x:v>5</x:v>
      </x:c>
      <x:c r="G13" t="str">
        <x:v>QA-REF-0012</x:v>
      </x:c>
      <x:c r="H13" t="str">
        <x:v>Independent test movement; post after opening-stock import</x:v>
      </x:c>
    </x:row>
    <x:row r="14" ht="23" customHeight="1">
      <x:c r="A14" t="str">
        <x:v>MOV-202610-013</x:v>
      </x:c>
      <x:c r="B14" t="str">
        <x:v>2026-10-15</x:v>
      </x:c>
      <x:c r="C14" t="str">
        <x:v>PAN-0003</x:v>
      </x:c>
      <x:c r="D14" t="str">
        <x:v>BLR-01</x:v>
      </x:c>
      <x:c r="E14" t="str">
        <x:v>STOCK_OUT</x:v>
      </x:c>
      <x:c r="F14" t="n">
        <x:v>6</x:v>
      </x:c>
      <x:c r="G14" t="str">
        <x:v>QA-REF-0013</x:v>
      </x:c>
      <x:c r="H14" t="str">
        <x:v>Independent test movement; post after opening-stock import</x:v>
      </x:c>
    </x:row>
    <x:row r="15" ht="23" customHeight="1">
      <x:c r="A15" t="str">
        <x:v>MOV-202610-014</x:v>
      </x:c>
      <x:c r="B15" t="str">
        <x:v>2026-10-16</x:v>
      </x:c>
      <x:c r="C15" t="str">
        <x:v>PAN-0007</x:v>
      </x:c>
      <x:c r="D15" t="str">
        <x:v>MUM-01</x:v>
      </x:c>
      <x:c r="E15" t="str">
        <x:v>ADJUSTMENT_IN</x:v>
      </x:c>
      <x:c r="F15" t="n">
        <x:v>7</x:v>
      </x:c>
      <x:c r="G15" t="str">
        <x:v>QA-REF-0014</x:v>
      </x:c>
      <x:c r="H15" t="str">
        <x:v>Independent test movement; post after opening-stock import</x:v>
      </x:c>
    </x:row>
    <x:row r="16" ht="23" customHeight="1">
      <x:c r="A16" t="str">
        <x:v>MOV-202610-015</x:v>
      </x:c>
      <x:c r="B16" t="str">
        <x:v>2026-10-17</x:v>
      </x:c>
      <x:c r="C16" t="str">
        <x:v>PKG-0003</x:v>
      </x:c>
      <x:c r="D16" t="str">
        <x:v>DEL-01</x:v>
      </x:c>
      <x:c r="E16" t="str">
        <x:v>ADJUSTMENT_OUT</x:v>
      </x:c>
      <x:c r="F16" t="n">
        <x:v>1</x:v>
      </x:c>
      <x:c r="G16" t="str">
        <x:v>QA-REF-0015</x:v>
      </x:c>
      <x:c r="H16" t="str">
        <x:v>Independent test movement; post after opening-stock import</x:v>
      </x:c>
    </x:row>
    <x:row r="17" ht="23" customHeight="1">
      <x:c r="A17" t="str">
        <x:v>MOV-202610-016</x:v>
      </x:c>
      <x:c r="B17" t="str">
        <x:v>2026-10-18</x:v>
      </x:c>
      <x:c r="C17" t="str">
        <x:v>PKG-0006</x:v>
      </x:c>
      <x:c r="D17" t="str">
        <x:v>DEL-01</x:v>
      </x:c>
      <x:c r="E17" t="str">
        <x:v>SUPPLIER_RETURN</x:v>
      </x:c>
      <x:c r="F17" t="n">
        <x:v>2</x:v>
      </x:c>
      <x:c r="G17" t="str">
        <x:v>QA-REF-0016</x:v>
      </x:c>
      <x:c r="H17" t="str">
        <x:v>Independent test movement; post after opening-stock import</x:v>
      </x:c>
    </x:row>
    <x:row r="18" ht="23" customHeight="1">
      <x:c r="A18" t="str">
        <x:v>MOV-202610-017</x:v>
      </x:c>
      <x:c r="B18" t="str">
        <x:v>2026-10-19</x:v>
      </x:c>
      <x:c r="C18" t="str">
        <x:v>SFT-0002</x:v>
      </x:c>
      <x:c r="D18" t="str">
        <x:v>BLR-01</x:v>
      </x:c>
      <x:c r="E18" t="str">
        <x:v>STOCK_IN</x:v>
      </x:c>
      <x:c r="F18" t="n">
        <x:v>2</x:v>
      </x:c>
      <x:c r="G18" t="str">
        <x:v>QA-REF-0017</x:v>
      </x:c>
      <x:c r="H18" t="str">
        <x:v>Independent test movement; post after opening-stock import</x:v>
      </x:c>
    </x:row>
    <x:row r="19" ht="23" customHeight="1">
      <x:c r="A19" t="str">
        <x:v>MOV-202610-018</x:v>
      </x:c>
      <x:c r="B19" t="str">
        <x:v>2026-10-20</x:v>
      </x:c>
      <x:c r="C19" t="str">
        <x:v>SFT-0005</x:v>
      </x:c>
      <x:c r="D19" t="str">
        <x:v>BLR-01</x:v>
      </x:c>
      <x:c r="E19" t="str">
        <x:v>STOCK_OUT</x:v>
      </x:c>
      <x:c r="F19" t="n">
        <x:v>4</x:v>
      </x:c>
      <x:c r="G19" t="str">
        <x:v>QA-REF-0018</x:v>
      </x:c>
      <x:c r="H19" t="str">
        <x:v>Independent test movement; post after opening-stock import</x:v>
      </x:c>
    </x:row>
    <x:row r="20" ht="23" customHeight="1">
      <x:c r="A20" t="str">
        <x:v>MOV-202610-019</x:v>
      </x:c>
      <x:c r="B20" t="str">
        <x:v>2026-10-21</x:v>
      </x:c>
      <x:c r="C20" t="str">
        <x:v>MNT-0001</x:v>
      </x:c>
      <x:c r="D20" t="str">
        <x:v>MUM-01</x:v>
      </x:c>
      <x:c r="E20" t="str">
        <x:v>CUSTOMER_RETURN</x:v>
      </x:c>
      <x:c r="F20" t="n">
        <x:v>4</x:v>
      </x:c>
      <x:c r="G20" t="str">
        <x:v>QA-REF-0019</x:v>
      </x:c>
      <x:c r="H20" t="str">
        <x:v>Independent test movement; post after opening-stock import</x:v>
      </x:c>
    </x:row>
    <x:row r="21" ht="23" customHeight="1">
      <x:c r="A21" t="str">
        <x:v>MOV-202610-020</x:v>
      </x:c>
      <x:c r="B21" t="str">
        <x:v>2026-10-22</x:v>
      </x:c>
      <x:c r="C21" t="str">
        <x:v>MNT-0004</x:v>
      </x:c>
      <x:c r="D21" t="str">
        <x:v>MUM-01</x:v>
      </x:c>
      <x:c r="E21" t="str">
        <x:v>STOCK_IN</x:v>
      </x:c>
      <x:c r="F21" t="n">
        <x:v>5</x:v>
      </x:c>
      <x:c r="G21" t="str">
        <x:v>QA-REF-0020</x:v>
      </x:c>
      <x:c r="H21" t="str">
        <x:v>Independent test movement; post after opening-stock import</x:v>
      </x:c>
    </x:row>
    <x:row r="22" ht="23" customHeight="1">
      <x:c r="A22" t="str">
        <x:v>MOV-202610-021</x:v>
      </x:c>
      <x:c r="B22" t="str">
        <x:v>2026-10-03</x:v>
      </x:c>
      <x:c r="C22" t="str">
        <x:v>MNT-0007</x:v>
      </x:c>
      <x:c r="D22" t="str">
        <x:v>MUM-01</x:v>
      </x:c>
      <x:c r="E22" t="str">
        <x:v>STOCK_OUT</x:v>
      </x:c>
      <x:c r="F22" t="n">
        <x:v>7</x:v>
      </x:c>
      <x:c r="G22" t="str">
        <x:v>QA-REF-0021</x:v>
      </x:c>
      <x:c r="H22" t="str">
        <x:v>Independent test movement; post after opening-stock import</x:v>
      </x:c>
    </x:row>
    <x:row r="23" ht="23" customHeight="1">
      <x:c r="A23" t="str">
        <x:v>MOV-202610-022</x:v>
      </x:c>
      <x:c r="B23" t="str">
        <x:v>2026-10-04</x:v>
      </x:c>
      <x:c r="C23" t="str">
        <x:v>ELE-0003</x:v>
      </x:c>
      <x:c r="D23" t="str">
        <x:v>DEL-01</x:v>
      </x:c>
      <x:c r="E23" t="str">
        <x:v>ADJUSTMENT_IN</x:v>
      </x:c>
      <x:c r="F23" t="n">
        <x:v>7</x:v>
      </x:c>
      <x:c r="G23" t="str">
        <x:v>QA-REF-0022</x:v>
      </x:c>
      <x:c r="H23" t="str">
        <x:v>Independent test movement; post after opening-stock import</x:v>
      </x:c>
    </x:row>
    <x:row r="24" ht="23" customHeight="1">
      <x:c r="A24" t="str">
        <x:v>MOV-202610-023</x:v>
      </x:c>
      <x:c r="B24" t="str">
        <x:v>2026-10-05</x:v>
      </x:c>
      <x:c r="C24" t="str">
        <x:v>ELE-0006</x:v>
      </x:c>
      <x:c r="D24" t="str">
        <x:v>DEL-01</x:v>
      </x:c>
      <x:c r="E24" t="str">
        <x:v>ADJUSTMENT_OUT</x:v>
      </x:c>
      <x:c r="F24" t="n">
        <x:v>2</x:v>
      </x:c>
      <x:c r="G24" t="str">
        <x:v>QA-REF-0023</x:v>
      </x:c>
      <x:c r="H24" t="str">
        <x:v>Independent test movement; post after opening-stock import</x:v>
      </x:c>
    </x:row>
    <x:row r="25" ht="23" customHeight="1">
      <x:c r="A25" t="str">
        <x:v>MOV-202610-024</x:v>
      </x:c>
      <x:c r="B25" t="str">
        <x:v>2026-10-06</x:v>
      </x:c>
      <x:c r="C25" t="str">
        <x:v>ITA-0001</x:v>
      </x:c>
      <x:c r="D25" t="str">
        <x:v>DEL-01</x:v>
      </x:c>
      <x:c r="E25" t="str">
        <x:v>SUPPLIER_RETURN</x:v>
      </x:c>
      <x:c r="F25" t="n">
        <x:v>3</x:v>
      </x:c>
      <x:c r="G25" t="str">
        <x:v>QA-REF-0024</x:v>
      </x:c>
      <x:c r="H25" t="str">
        <x:v>Independent test movement; post after opening-stock import</x:v>
      </x:c>
    </x:row>
  </x:sheetData>
  <x:dataValidations count="1">
    <x:dataValidation type="list" sqref="E2:E300">
      <x:formula1>"ADJUSTMENT_IN,ADJUSTMENT_OUT,CUSTOMER_RETURN,STOCK_IN,STOCK_OUT,SUPPLIER_RETURN"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76b71a13744c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6" hidden="0" customWidth="1"/>
    <x:col min="3" max="3" width="39" hidden="0" customWidth="1"/>
    <x:col min="4" max="4" width="48" hidden="0" customWidth="1"/>
    <x:col min="5" max="5" width="52" hidden="0" customWidth="1"/>
  </x:cols>
  <x:sheetData>
    <x:row r="1" ht="34" customHeight="1">
      <x:c r="A1" s="7" t="str">
        <x:v>case_id</x:v>
      </x:c>
      <x:c r="B1" s="7" t="str">
        <x:v>test_area</x:v>
      </x:c>
      <x:c r="C1" s="7" t="str">
        <x:v>invalid_input</x:v>
      </x:c>
      <x:c r="D1" s="7" t="str">
        <x:v>expected_result</x:v>
      </x:c>
      <x:c r="E1" s="7" t="str">
        <x:v>why_it_should_fail</x:v>
      </x:c>
    </x:row>
    <x:row r="2" ht="30" customHeight="1">
      <x:c r="A2" s="30" t="str">
        <x:v>INV-001</x:v>
      </x:c>
      <x:c r="B2" s="30" t="str">
        <x:v>Required SKU</x:v>
      </x:c>
      <x:c r="C2" s="30" t="str">
        <x:v>(blank SKU)</x:v>
      </x:c>
      <x:c r="D2" s="30" t="str">
        <x:v>Reject item or show row-level error</x:v>
      </x:c>
      <x:c r="E2" s="30" t="str">
        <x:v>SKU is mandatory</x:v>
      </x:c>
    </x:row>
    <x:row r="3" ht="30" customHeight="1">
      <x:c r="A3" s="30" t="str">
        <x:v>INV-002</x:v>
      </x:c>
      <x:c r="B3" s="30" t="str">
        <x:v>Duplicate SKU</x:v>
      </x:c>
      <x:c r="C3" s="30" t="str">
        <x:v>ELE-0001 entered again</x:v>
      </x:c>
      <x:c r="D3" s="30" t="str">
        <x:v>Reject duplicate or apply documented upsert behavior</x:v>
      </x:c>
      <x:c r="E3" s="30" t="str">
        <x:v>SKUs should identify records uniquely</x:v>
      </x:c>
    </x:row>
    <x:row r="4" ht="30" customHeight="1">
      <x:c r="A4" s="30" t="str">
        <x:v>INV-003</x:v>
      </x:c>
      <x:c r="B4" s="30" t="str">
        <x:v>Negative quantity</x:v>
      </x:c>
      <x:c r="C4" s="30" t="str">
        <x:v>stock_quantity = -5</x:v>
      </x:c>
      <x:c r="D4" s="30" t="str">
        <x:v>Reject</x:v>
      </x:c>
      <x:c r="E4" s="30" t="str">
        <x:v>Negative on-hand quantity is not valid for new stock</x:v>
      </x:c>
    </x:row>
    <x:row r="5" ht="30" customHeight="1">
      <x:c r="A5" s="30" t="str">
        <x:v>INV-004</x:v>
      </x:c>
      <x:c r="B5" s="30" t="str">
        <x:v>Negative cost</x:v>
      </x:c>
      <x:c r="C5" s="30" t="str">
        <x:v>unit_cost_inr = -100</x:v>
      </x:c>
      <x:c r="D5" s="30" t="str">
        <x:v>Reject</x:v>
      </x:c>
      <x:c r="E5" s="30" t="str">
        <x:v>Cost cannot be below zero</x:v>
      </x:c>
    </x:row>
    <x:row r="6" ht="30" customHeight="1">
      <x:c r="A6" s="30" t="str">
        <x:v>INV-005</x:v>
      </x:c>
      <x:c r="B6" s="30" t="str">
        <x:v>Invalid barcode</x:v>
      </x:c>
      <x:c r="C6" s="30" t="str">
        <x:v>barcode = ABC12</x:v>
      </x:c>
      <x:c r="D6" s="30" t="str">
        <x:v>Reject if EAN-13 validation enabled</x:v>
      </x:c>
      <x:c r="E6" s="30" t="str">
        <x:v>Expected 13 numeric digits and checksum</x:v>
      </x:c>
    </x:row>
    <x:row r="7" ht="30" customHeight="1">
      <x:c r="A7" s="30" t="str">
        <x:v>INV-006</x:v>
      </x:c>
      <x:c r="B7" s="30" t="str">
        <x:v>Invalid date</x:v>
      </x:c>
      <x:c r="C7" s="30" t="str">
        <x:v>expiry_date = 31/31/2026</x:v>
      </x:c>
      <x:c r="D7" s="30" t="str">
        <x:v>Reject</x:v>
      </x:c>
      <x:c r="E7" s="30" t="str">
        <x:v>Not a valid date</x:v>
      </x:c>
    </x:row>
    <x:row r="8" ht="30" customHeight="1">
      <x:c r="A8" s="30" t="str">
        <x:v>INV-007</x:v>
      </x:c>
      <x:c r="B8" s="30" t="str">
        <x:v>Unknown warehouse</x:v>
      </x:c>
      <x:c r="C8" s="30" t="str">
        <x:v>warehouse = XYZ-99</x:v>
      </x:c>
      <x:c r="D8" s="30" t="str">
        <x:v>Reject or request mapping</x:v>
      </x:c>
      <x:c r="E8" s="30" t="str">
        <x:v>Warehouse does not exist</x:v>
      </x:c>
    </x:row>
    <x:row r="9" ht="30" customHeight="1">
      <x:c r="A9" s="30" t="str">
        <x:v>INV-008</x:v>
      </x:c>
      <x:c r="B9" s="30" t="str">
        <x:v>Unknown category</x:v>
      </x:c>
      <x:c r="C9" s="30" t="str">
        <x:v>category = Unlisted Group</x:v>
      </x:c>
      <x:c r="D9" s="30" t="str">
        <x:v>Reject or request mapping</x:v>
      </x:c>
      <x:c r="E9" s="30" t="str">
        <x:v>Category not configured</x:v>
      </x:c>
    </x:row>
    <x:row r="10" ht="30" customHeight="1">
      <x:c r="A10" s="30" t="str">
        <x:v>INV-009</x:v>
      </x:c>
      <x:c r="B10" s="30" t="str">
        <x:v>Missing product name</x:v>
      </x:c>
      <x:c r="C10" s="30" t="str">
        <x:v>product_name = (blank)</x:v>
      </x:c>
      <x:c r="D10" s="30" t="str">
        <x:v>Reject</x:v>
      </x:c>
      <x:c r="E10" s="30" t="str">
        <x:v>Product name is required</x:v>
      </x:c>
    </x:row>
    <x:row r="11" ht="30" customHeight="1">
      <x:c r="A11" s="30" t="str">
        <x:v>INV-010</x:v>
      </x:c>
      <x:c r="B11" s="30" t="str">
        <x:v>Invalid quantity type</x:v>
      </x:c>
      <x:c r="C11" s="30" t="str">
        <x:v>stock_quantity = twelve</x:v>
      </x:c>
      <x:c r="D11" s="30" t="str">
        <x:v>Reject</x:v>
      </x:c>
      <x:c r="E11" s="30" t="str">
        <x:v>Integer stock quantity expected</x:v>
      </x:c>
    </x:row>
    <x:row r="12" ht="30" customHeight="1">
      <x:c r="A12" s="30" t="str">
        <x:v>INV-011</x:v>
      </x:c>
      <x:c r="B12" s="30" t="str">
        <x:v>Quantity overdraw</x:v>
      </x:c>
      <x:c r="C12" s="30" t="str">
        <x:v>Issue 5000 units of STA-0001</x:v>
      </x:c>
      <x:c r="D12" s="30" t="str">
        <x:v>Reject transaction</x:v>
      </x:c>
      <x:c r="E12" s="30" t="str">
        <x:v>Cannot make stock negative via issue</x:v>
      </x:c>
    </x:row>
    <x:row r="13" ht="30" customHeight="1">
      <x:c r="A13" s="30" t="str">
        <x:v>INV-012</x:v>
      </x:c>
      <x:c r="B13" s="30" t="str">
        <x:v>Invalid reorder level</x:v>
      </x:c>
      <x:c r="C13" s="30" t="str">
        <x:v>reorder_level = -2</x:v>
      </x:c>
      <x:c r="D13" s="30" t="str">
        <x:v>Reject</x:v>
      </x:c>
      <x:c r="E13" s="30" t="str">
        <x:v>Threshold cannot be negative</x:v>
      </x:c>
    </x:row>
    <x:row r="14" ht="30" customHeight="1">
      <x:c r="A14" s="30" t="str">
        <x:v>INV-013</x:v>
      </x:c>
      <x:c r="B14" s="30" t="str">
        <x:v>Invalid max stock</x:v>
      </x:c>
      <x:c r="C14" s="30" t="str">
        <x:v>max_stock = 3; reorder_level = 20</x:v>
      </x:c>
      <x:c r="D14" s="30" t="str">
        <x:v>Reject or warn</x:v>
      </x:c>
      <x:c r="E14" s="30" t="str">
        <x:v>Max stock less than reorder threshold</x:v>
      </x:c>
    </x:row>
    <x:row r="15" ht="30" customHeight="1">
      <x:c r="A15" s="30" t="str">
        <x:v>INV-014</x:v>
      </x:c>
      <x:c r="B15" s="30" t="str">
        <x:v>Expired lot</x:v>
      </x:c>
      <x:c r="C15" s="30" t="str">
        <x:v>Expiry date earlier than 2026-10-03</x:v>
      </x:c>
      <x:c r="D15" s="30" t="str">
        <x:v>Quarantine or warn, per policy</x:v>
      </x:c>
      <x:c r="E15" s="30" t="str">
        <x:v>Should not be allowed for normal fulfillment</x:v>
      </x:c>
    </x:row>
    <x:row r="16" ht="30" customHeight="1">
      <x:c r="A16" s="30" t="str">
        <x:v>INV-015</x:v>
      </x:c>
      <x:c r="B16" s="30" t="str">
        <x:v>Formula injection</x:v>
      </x:c>
      <x:c r="C16" s="30" t="str">
        <x:v>product_name = =1+1</x:v>
      </x:c>
      <x:c r="D16" s="30" t="str">
        <x:v>Escape spreadsheet formula text</x:v>
      </x:c>
      <x:c r="E16" s="30" t="str">
        <x:v>Text import should not execute spreadsheet formulas</x:v>
      </x:c>
    </x:row>
    <x:row r="17" ht="30" customHeight="1">
      <x:c r="A17" s="30" t="str">
        <x:v>INV-016</x:v>
      </x:c>
      <x:c r="B17" s="30" t="str">
        <x:v>Leading-zero barcode</x:v>
      </x:c>
      <x:c r="C17" s="30" t="str">
        <x:v>barcode = 0012345678905</x:v>
      </x:c>
      <x:c r="D17" s="30" t="str">
        <x:v>Preserve as text</x:v>
      </x:c>
      <x:c r="E17" s="30" t="str">
        <x:v>Avoid losing leading zeros or scientific notation</x:v>
      </x:c>
    </x:row>
  </x:sheetData>
  <x:pageMargins left="0.7" right="0.7" top="0.75" bottom="0.75" header="0.3" footer="0.3"/>
  <x:tableParts count="1">
    <x:tablePart xmlns:r="http://schemas.openxmlformats.org/officeDocument/2006/relationships" r:id="Rd1068c2495494784"/>
  </x:tableParts>
</x:worksheet>
</file>